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etty_xu\Downloads\"/>
    </mc:Choice>
  </mc:AlternateContent>
  <bookViews>
    <workbookView xWindow="0" yWindow="0" windowWidth="20520" windowHeight="9855" activeTab="3"/>
  </bookViews>
  <sheets>
    <sheet name="Ack Letter" sheetId="6" r:id="rId1"/>
    <sheet name="2nd in - ToUW" sheetId="1" r:id="rId2"/>
    <sheet name="2nd in - Config" sheetId="3" r:id="rId3"/>
    <sheet name="Decline Reference" sheetId="10" r:id="rId4"/>
    <sheet name="UW Info" sheetId="2" r:id="rId5"/>
    <sheet name="Submission Status" sheetId="5" state="hidden" r:id="rId6"/>
    <sheet name="LOB List" sheetId="7" r:id="rId7"/>
    <sheet name="LOB-Line_in_IMS" sheetId="8" r:id="rId8"/>
    <sheet name="Processor List" sheetId="4" r:id="rId9"/>
    <sheet name="Name Splitter" sheetId="9" state="hidden" r:id="rId10"/>
  </sheets>
  <functionGroups builtInGroupCount="18"/>
  <externalReferences>
    <externalReference r:id="rId11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3" l="1"/>
</calcChain>
</file>

<file path=xl/sharedStrings.xml><?xml version="1.0" encoding="utf-8"?>
<sst xmlns="http://schemas.openxmlformats.org/spreadsheetml/2006/main" count="336" uniqueCount="290">
  <si>
    <t>Second In</t>
  </si>
  <si>
    <t>Name Insured</t>
  </si>
  <si>
    <t>Control#</t>
  </si>
  <si>
    <t>Effective Date</t>
  </si>
  <si>
    <t>Date Received</t>
  </si>
  <si>
    <t>Broker</t>
  </si>
  <si>
    <t>Assigned UW</t>
  </si>
  <si>
    <t>jma@skywardinsurance.com</t>
  </si>
  <si>
    <t>John MA</t>
  </si>
  <si>
    <t>skirk@skywardinsurance.com</t>
  </si>
  <si>
    <t>Shaundra Kirk</t>
  </si>
  <si>
    <t>joneill@skywardinsurance.com</t>
  </si>
  <si>
    <t>Josh O’Neill</t>
  </si>
  <si>
    <t>jmarques@skywardinsurance.com</t>
  </si>
  <si>
    <t>Joe Marques</t>
  </si>
  <si>
    <t>mlove@skywardinsurance.com</t>
  </si>
  <si>
    <t>Matt Love</t>
  </si>
  <si>
    <t>mbutt@skywardinsurance.com</t>
  </si>
  <si>
    <t>Melissa Butt</t>
  </si>
  <si>
    <t>jlove@skywardinsurance.com</t>
  </si>
  <si>
    <t>Jeff Love</t>
  </si>
  <si>
    <t>ndormer@skywardinsurance.com</t>
  </si>
  <si>
    <t>Nick Dormer</t>
  </si>
  <si>
    <t>bbouyerwindley@skywardinsurance.com</t>
  </si>
  <si>
    <t>Brenda Bouyer-Windley</t>
  </si>
  <si>
    <t>pgadaleta@skywardinsurance.com</t>
  </si>
  <si>
    <t>Paul Gadaleta</t>
  </si>
  <si>
    <t>mholmes@skywardinsurance.com</t>
  </si>
  <si>
    <t>darrell.crawford@skywardinsurance.com</t>
  </si>
  <si>
    <t>marias@skywardinsurance.com</t>
  </si>
  <si>
    <t>dkearney@skywardinsurance.com</t>
  </si>
  <si>
    <t>Dan Kearney</t>
  </si>
  <si>
    <t>jpuccio@skywardinsurance.com</t>
  </si>
  <si>
    <t>mboland@skywardinsurance.com</t>
  </si>
  <si>
    <t>Mark Boland</t>
  </si>
  <si>
    <t>Email Address</t>
  </si>
  <si>
    <t>UW Name</t>
  </si>
  <si>
    <t>Submission Status</t>
  </si>
  <si>
    <t>Declined</t>
  </si>
  <si>
    <t>Cleared</t>
  </si>
  <si>
    <t>Processor first Name</t>
  </si>
  <si>
    <t>First In</t>
  </si>
  <si>
    <t>jlundquist@skywardinsurance.com; szhang@skywardinsurance.com; iyu@skywardinsurance.com</t>
  </si>
  <si>
    <t>Data</t>
  </si>
  <si>
    <t>A_Status</t>
  </si>
  <si>
    <t>A_NameInsured</t>
  </si>
  <si>
    <t>A_Control</t>
  </si>
  <si>
    <t>A_EffDate</t>
  </si>
  <si>
    <t>A_RevDate</t>
  </si>
  <si>
    <t>A_Broker</t>
  </si>
  <si>
    <t>A_UW</t>
  </si>
  <si>
    <t>Email_Cc</t>
  </si>
  <si>
    <t>Locate Email Subject</t>
  </si>
  <si>
    <t>Processor Name</t>
  </si>
  <si>
    <t>Email_Template</t>
  </si>
  <si>
    <t>Susan</t>
  </si>
  <si>
    <t>szhang@skywardinsurance.com</t>
  </si>
  <si>
    <t>LOB</t>
  </si>
  <si>
    <t>GL</t>
  </si>
  <si>
    <t>Property</t>
  </si>
  <si>
    <t>Submission</t>
  </si>
  <si>
    <t>Package</t>
  </si>
  <si>
    <t>Excess</t>
  </si>
  <si>
    <t>Same with above</t>
  </si>
  <si>
    <t>Z:\Operations\RSP\Daily Report\Excess &amp; Surplus Brokerage\Automation of Letter\Email Template.msg</t>
  </si>
  <si>
    <t>Beryl</t>
  </si>
  <si>
    <t>Beira</t>
  </si>
  <si>
    <t>byuan@skywardinsurance.com</t>
  </si>
  <si>
    <t>bjiang@skywardinsurance.com</t>
  </si>
  <si>
    <t>Candy</t>
  </si>
  <si>
    <t>candy.wang@skywardinsurance.com</t>
  </si>
  <si>
    <t>Clara</t>
  </si>
  <si>
    <t>cchen@skywardinsurance.com</t>
  </si>
  <si>
    <t>Doria</t>
  </si>
  <si>
    <t>dduan@skywardinsurance.com</t>
  </si>
  <si>
    <t>Evelyn</t>
  </si>
  <si>
    <t>elu@skywardinsurance.com</t>
  </si>
  <si>
    <t>Hansa</t>
  </si>
  <si>
    <t>hliu@skywardinsurance.com</t>
  </si>
  <si>
    <t>Ida</t>
  </si>
  <si>
    <t>iyu@skywardinsurance.com</t>
  </si>
  <si>
    <t>Iris</t>
  </si>
  <si>
    <t>izhang@skywardinsurance.com</t>
  </si>
  <si>
    <t>Jane</t>
  </si>
  <si>
    <t>jnie@skywardinsurance.com</t>
  </si>
  <si>
    <t>Jocelyn</t>
  </si>
  <si>
    <t>jocelyn.zhao@skywardinsurance.com</t>
  </si>
  <si>
    <t>Josie</t>
  </si>
  <si>
    <t>jxin@skywardinsurance.com</t>
  </si>
  <si>
    <t>Kaavia</t>
  </si>
  <si>
    <t>kqiao@skywardinsurance.com</t>
  </si>
  <si>
    <t>Lottie</t>
  </si>
  <si>
    <t>lchen@skywardinsurance.com</t>
  </si>
  <si>
    <t>Lucy</t>
  </si>
  <si>
    <t>Lucyl@skywardinsurance.com</t>
  </si>
  <si>
    <t>lli@skywardinsurance.com</t>
  </si>
  <si>
    <t>Lynn</t>
  </si>
  <si>
    <t>Martin</t>
  </si>
  <si>
    <t>martin.wang@skywardinsurance.com</t>
  </si>
  <si>
    <t>Nicole</t>
  </si>
  <si>
    <t>nwang@skywardinsurance.com</t>
  </si>
  <si>
    <t>Phoebe</t>
  </si>
  <si>
    <t>pyu@skywardinsurance.com</t>
  </si>
  <si>
    <t>Rena</t>
  </si>
  <si>
    <t>rren@skywardinsurance.com</t>
  </si>
  <si>
    <t>Rosita</t>
  </si>
  <si>
    <t>rosita.wang@skywardinsurance.com</t>
  </si>
  <si>
    <t>Yedda</t>
  </si>
  <si>
    <t>ywang@skywardinsurance.com</t>
  </si>
  <si>
    <t>Indicated</t>
  </si>
  <si>
    <t>Third In</t>
  </si>
  <si>
    <t>Fifth In</t>
  </si>
  <si>
    <t>Fourth In</t>
  </si>
  <si>
    <t>B</t>
  </si>
  <si>
    <t>C</t>
  </si>
  <si>
    <t>H</t>
  </si>
  <si>
    <t>D</t>
  </si>
  <si>
    <t>E</t>
  </si>
  <si>
    <t>F</t>
  </si>
  <si>
    <t>G</t>
  </si>
  <si>
    <t>Z:\Operations\RSP\Daily Report\Excess &amp; Surplus Brokerage\Automation of Letter\Email Template - Main.msg</t>
  </si>
  <si>
    <t>Email_Main_Template</t>
  </si>
  <si>
    <t>Email Template</t>
  </si>
  <si>
    <t>Z:\Operations\RSP\Daily Report\Excess &amp; Surplus Brokerage\Automation of Letter\E&amp;S Ack Letter Email Template.msg</t>
  </si>
  <si>
    <t>Closed</t>
  </si>
  <si>
    <t>Quoted</t>
  </si>
  <si>
    <t>Renewal</t>
  </si>
  <si>
    <t>Stacy Dorman</t>
  </si>
  <si>
    <t>sdorman@skywardinsurance.com</t>
  </si>
  <si>
    <t>lgeorge@skywardinsurance.com</t>
  </si>
  <si>
    <t>Lorie George</t>
  </si>
  <si>
    <t>Underwriter in IMS</t>
  </si>
  <si>
    <t>Bouyer-Windley, Brenda</t>
  </si>
  <si>
    <t>Kearney, Dan</t>
  </si>
  <si>
    <t>Crawford, Darrell</t>
  </si>
  <si>
    <t>Love, Jeff</t>
  </si>
  <si>
    <t>Marques, Joe</t>
  </si>
  <si>
    <t>Ma, John</t>
  </si>
  <si>
    <t>Puccio, John</t>
  </si>
  <si>
    <t>O'Neill, Josh</t>
  </si>
  <si>
    <t>Boland, Mark</t>
  </si>
  <si>
    <t>Holmes, Mark</t>
  </si>
  <si>
    <t>Love, Matt</t>
  </si>
  <si>
    <t>Butt, Melissa</t>
  </si>
  <si>
    <t>Arias, Michael</t>
  </si>
  <si>
    <t>Dormer, Nick</t>
  </si>
  <si>
    <t>Gadaleta, Paul</t>
  </si>
  <si>
    <t>Kirk, Shaundra</t>
  </si>
  <si>
    <t>Dorman, Stacy</t>
  </si>
  <si>
    <t>George, Lorie</t>
  </si>
  <si>
    <t>Darrell Crawford</t>
  </si>
  <si>
    <t>John Puccio</t>
  </si>
  <si>
    <t>Mark Holmes</t>
  </si>
  <si>
    <t>Michael Arias</t>
  </si>
  <si>
    <t>Line in IMS</t>
  </si>
  <si>
    <t>LOB in Letter</t>
  </si>
  <si>
    <t>E&amp;S Brokerage General Liability</t>
  </si>
  <si>
    <t>E&amp;S Brokerage Property</t>
  </si>
  <si>
    <t>E&amp;S Brokerage Package</t>
  </si>
  <si>
    <t>E&amp;S Brokerage Excess</t>
  </si>
  <si>
    <t>E&amp;S Brokerage Unsupported Excess</t>
  </si>
  <si>
    <t>Column In Template</t>
  </si>
  <si>
    <t>Column In Clearance Report</t>
  </si>
  <si>
    <t>N</t>
  </si>
  <si>
    <t>J</t>
  </si>
  <si>
    <t>Clearance Report Location</t>
  </si>
  <si>
    <t>U</t>
  </si>
  <si>
    <t>Submission Status in Template</t>
  </si>
  <si>
    <t>Submission Status in Clearance Report</t>
  </si>
  <si>
    <t>Submitted</t>
  </si>
  <si>
    <t>Lost</t>
  </si>
  <si>
    <t>Bound</t>
  </si>
  <si>
    <t>Not Taken Up</t>
  </si>
  <si>
    <t>Additional Information Required</t>
  </si>
  <si>
    <t>Symbols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</si>
  <si>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</si>
  <si>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</si>
  <si>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</si>
  <si>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</si>
  <si>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</si>
  <si>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T/A </t>
  </si>
  <si>
    <t xml:space="preserve"> TA 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</si>
  <si>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</si>
  <si>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</si>
  <si>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</si>
  <si>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</si>
  <si>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</si>
  <si>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ta </t>
  </si>
  <si>
    <t xml:space="preserve"> t/a </t>
  </si>
  <si>
    <t>PolicyType Column in Clearance Report</t>
  </si>
  <si>
    <t>Processor First Name</t>
  </si>
  <si>
    <t>●Automation will only link broker's company name, if such a situation like decline a new submission for same broker comany but for different office, please add broker office info on it.</t>
  </si>
  <si>
    <r>
      <t xml:space="preserve">E.g: 1st in broker: RT Speciaty </t>
    </r>
    <r>
      <rPr>
        <b/>
        <sz val="12"/>
        <color theme="1"/>
        <rFont val="Calibri"/>
        <family val="2"/>
        <scheme val="minor"/>
      </rPr>
      <t>- New York, NY</t>
    </r>
  </si>
  <si>
    <r>
      <t xml:space="preserve">      2nd in broker: RT Speciaty</t>
    </r>
    <r>
      <rPr>
        <b/>
        <sz val="12"/>
        <color theme="1"/>
        <rFont val="Calibri"/>
        <family val="2"/>
        <scheme val="minor"/>
      </rPr>
      <t xml:space="preserve"> - Charlotte, NC</t>
    </r>
  </si>
  <si>
    <t>Process Step:</t>
  </si>
  <si>
    <r>
      <rPr>
        <b/>
        <sz val="12"/>
        <color theme="1"/>
        <rFont val="Calibri"/>
        <family val="2"/>
        <scheme val="minor"/>
      </rPr>
      <t>①</t>
    </r>
    <r>
      <rPr>
        <sz val="12"/>
        <color theme="1"/>
        <rFont val="Calibri"/>
        <family val="2"/>
        <scheme val="minor"/>
      </rPr>
      <t xml:space="preserve"> Waiting for this window pop out and then click "OK"</t>
    </r>
  </si>
  <si>
    <r>
      <rPr>
        <b/>
        <sz val="12"/>
        <color theme="1"/>
        <rFont val="Calibri"/>
        <family val="2"/>
        <scheme val="minor"/>
      </rPr>
      <t>③</t>
    </r>
    <r>
      <rPr>
        <sz val="12"/>
        <color theme="1"/>
        <rFont val="Calibri"/>
        <family val="2"/>
        <scheme val="minor"/>
      </rPr>
      <t xml:space="preserve"> Waiting for this window pop out and then click "OK"</t>
    </r>
  </si>
  <si>
    <r>
      <rPr>
        <b/>
        <sz val="12"/>
        <color theme="1"/>
        <rFont val="Calibri"/>
        <family val="2"/>
        <scheme val="minor"/>
      </rPr>
      <t>④</t>
    </r>
    <r>
      <rPr>
        <sz val="12"/>
        <color theme="1"/>
        <rFont val="Calibri"/>
        <family val="2"/>
        <scheme val="minor"/>
      </rPr>
      <t xml:space="preserve"> Double check on this step about each info before send</t>
    </r>
  </si>
  <si>
    <r>
      <rPr>
        <b/>
        <sz val="12"/>
        <color theme="1"/>
        <rFont val="Calibri"/>
        <family val="2"/>
        <scheme val="minor"/>
      </rPr>
      <t>⑤</t>
    </r>
    <r>
      <rPr>
        <sz val="12"/>
        <color theme="1"/>
        <rFont val="Calibri"/>
        <family val="2"/>
        <scheme val="minor"/>
      </rPr>
      <t xml:space="preserve"> Click to clear date, then repite process from </t>
    </r>
    <r>
      <rPr>
        <b/>
        <sz val="12"/>
        <color theme="1"/>
        <rFont val="Calibri"/>
        <family val="2"/>
        <scheme val="minor"/>
      </rPr>
      <t xml:space="preserve">Click Run Clearance Report </t>
    </r>
    <r>
      <rPr>
        <sz val="12"/>
        <color theme="1"/>
        <rFont val="Calibri"/>
        <family val="2"/>
        <scheme val="minor"/>
      </rPr>
      <t>for new task</t>
    </r>
  </si>
  <si>
    <t>Repeat for New Task</t>
  </si>
  <si>
    <r>
      <rPr>
        <b/>
        <sz val="12"/>
        <color theme="1"/>
        <rFont val="Calibri"/>
        <family val="2"/>
        <scheme val="minor"/>
      </rPr>
      <t>②</t>
    </r>
    <r>
      <rPr>
        <sz val="12"/>
        <color theme="1"/>
        <rFont val="Calibri"/>
        <family val="2"/>
        <scheme val="minor"/>
      </rPr>
      <t xml:space="preserve"> Fill the info per process in these yellow cells for </t>
    </r>
    <r>
      <rPr>
        <b/>
        <sz val="12"/>
        <color theme="1"/>
        <rFont val="Calibri"/>
        <family val="2"/>
        <scheme val="minor"/>
      </rPr>
      <t>exsiting card &amp; new card:</t>
    </r>
  </si>
  <si>
    <t>Field to be updated</t>
  </si>
  <si>
    <t>Field to be check with submission email</t>
  </si>
  <si>
    <t>Karen</t>
  </si>
  <si>
    <t>kwang@skywardinsurance.com</t>
  </si>
  <si>
    <t>Shirly</t>
  </si>
  <si>
    <t>szhuang@skywardinsurance.com</t>
  </si>
  <si>
    <t>Holbert</t>
  </si>
  <si>
    <t>hhui@skywardinsurance.com</t>
  </si>
  <si>
    <t>Una</t>
  </si>
  <si>
    <t>ujin@skywardinsurance.com</t>
  </si>
  <si>
    <t>April</t>
  </si>
  <si>
    <t>aqu@skywardinsurance.com</t>
  </si>
  <si>
    <t>szhang</t>
  </si>
  <si>
    <t>byuan</t>
  </si>
  <si>
    <t>bjiang</t>
  </si>
  <si>
    <t>candy.wang</t>
  </si>
  <si>
    <t>cchen</t>
  </si>
  <si>
    <t>dduan</t>
  </si>
  <si>
    <t>elu</t>
  </si>
  <si>
    <t>hliu</t>
  </si>
  <si>
    <t>iyu</t>
  </si>
  <si>
    <t>izhang</t>
  </si>
  <si>
    <t>jnie</t>
  </si>
  <si>
    <t>jocelyn.zhao</t>
  </si>
  <si>
    <t>jxin</t>
  </si>
  <si>
    <t>kqiao</t>
  </si>
  <si>
    <t>lchen</t>
  </si>
  <si>
    <t>Lucyl</t>
  </si>
  <si>
    <t>lli</t>
  </si>
  <si>
    <t>martin.wang</t>
  </si>
  <si>
    <t>nwang</t>
  </si>
  <si>
    <t>pyu</t>
  </si>
  <si>
    <t>rren</t>
  </si>
  <si>
    <t>rosita.wang</t>
  </si>
  <si>
    <t>ywang</t>
  </si>
  <si>
    <t>kwang</t>
  </si>
  <si>
    <t>szhuang</t>
  </si>
  <si>
    <t>hhui</t>
  </si>
  <si>
    <t>ujin</t>
  </si>
  <si>
    <t>aqu</t>
  </si>
  <si>
    <t>server</t>
  </si>
  <si>
    <t xml:space="preserve">For column C, it comes from the email address information. Please enter the wording before "@". </t>
  </si>
  <si>
    <t>Initial</t>
  </si>
  <si>
    <t>BBW</t>
  </si>
  <si>
    <t>DK</t>
  </si>
  <si>
    <t>JM</t>
  </si>
  <si>
    <t>JP</t>
  </si>
  <si>
    <t>MH</t>
  </si>
  <si>
    <t>ML</t>
  </si>
  <si>
    <t>MA</t>
  </si>
  <si>
    <t>SD</t>
  </si>
  <si>
    <t>LG</t>
  </si>
  <si>
    <t>ND</t>
  </si>
  <si>
    <t>SK</t>
  </si>
  <si>
    <t>DC</t>
  </si>
  <si>
    <t>JTL</t>
  </si>
  <si>
    <t>JAM</t>
  </si>
  <si>
    <t>JSO</t>
  </si>
  <si>
    <t>MFB</t>
  </si>
  <si>
    <t>MLB</t>
  </si>
  <si>
    <t>PMG</t>
  </si>
  <si>
    <t>2nd in LOB/Cleared LOB</t>
  </si>
  <si>
    <t>Not Appointed LOB</t>
  </si>
  <si>
    <t>Request From</t>
  </si>
  <si>
    <t>Decline Reason</t>
  </si>
  <si>
    <t>Layout Index</t>
  </si>
  <si>
    <t>Automation Layout</t>
  </si>
  <si>
    <t>Decline Request from UW</t>
  </si>
  <si>
    <t>Text</t>
  </si>
  <si>
    <t>1 &amp; 5 (UW: Melissa Butt)</t>
  </si>
  <si>
    <t>Others</t>
  </si>
  <si>
    <t>Retailer</t>
  </si>
  <si>
    <t>UW</t>
  </si>
  <si>
    <t>Class of Business</t>
  </si>
  <si>
    <t>90 days</t>
  </si>
  <si>
    <t>Office Not Appointed</t>
  </si>
  <si>
    <r>
      <rPr>
        <b/>
        <sz val="11"/>
        <color theme="1"/>
        <rFont val="Calibri"/>
        <family val="2"/>
      </rPr>
      <t>2nd in Submission - Active policy for same LOB (</t>
    </r>
    <r>
      <rPr>
        <sz val="11"/>
        <color theme="1"/>
        <rFont val="Calibri"/>
        <family val="2"/>
      </rPr>
      <t>under E&amp;S or Other Divisions but with Carol's Declination Instruction under E&amp;S)</t>
    </r>
  </si>
  <si>
    <t>2nd in Submission - No Active Policy</t>
  </si>
  <si>
    <t>2nd in LOB</t>
  </si>
  <si>
    <t>One LOB - 2nd in, Others - Not appointed</t>
  </si>
  <si>
    <t>One LOB - Not appointed, Others - Cleared</t>
  </si>
  <si>
    <t>One LOB - 2nd in, Others - Cleared</t>
  </si>
  <si>
    <t xml:space="preserve">Puerto Rico </t>
  </si>
  <si>
    <t>Virgin Islands</t>
  </si>
  <si>
    <t>Cleared LOB</t>
  </si>
  <si>
    <t>Cleared LOB Control#</t>
  </si>
  <si>
    <t>Alaska</t>
  </si>
  <si>
    <t>Use Original Subject</t>
  </si>
  <si>
    <t>Email Template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</si>
</sst>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4" tint="-0.249977111117893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6">
    <xf numFmtId="0" fontId="0" fillId="0" borderId="0" xfId="0"/>
    <xf numFmtId="0" fontId="3" fillId="0" borderId="0" xfId="1"/>
    <xf numFmtId="0" fontId="1" fillId="3" borderId="0" xfId="0" applyFont="1" applyFill="1"/>
    <xf numFmtId="0" fontId="0" fillId="4" borderId="0" xfId="0" applyFill="1"/>
    <xf numFmtId="0" fontId="0" fillId="4" borderId="1" xfId="0" applyFill="1" applyBorder="1" applyAlignment="1">
      <alignment horizontal="left"/>
    </xf>
    <xf numFmtId="0" fontId="1" fillId="3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2" fillId="4" borderId="1" xfId="0" applyFont="1" applyFill="1" applyBorder="1" applyAlignment="1">
      <alignment vertical="center"/>
    </xf>
    <xf numFmtId="0" fontId="0" fillId="4" borderId="1" xfId="0" applyFill="1" applyBorder="1"/>
    <xf numFmtId="0" fontId="5" fillId="3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5" fillId="3" borderId="0" xfId="0" applyFont="1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9" fillId="7" borderId="1" xfId="0" applyFont="1" applyFill="1" applyBorder="1" applyAlignment="1">
      <alignment horizontal="left"/>
    </xf>
    <xf numFmtId="0" fontId="10" fillId="5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/>
    </xf>
    <xf numFmtId="14" fontId="9" fillId="2" borderId="1" xfId="0" applyNumberFormat="1" applyFont="1" applyFill="1" applyBorder="1" applyAlignment="1">
      <alignment horizontal="left"/>
    </xf>
    <xf numFmtId="0" fontId="9" fillId="4" borderId="1" xfId="0" applyFont="1" applyFill="1" applyBorder="1" applyAlignment="1">
      <alignment horizontal="left"/>
    </xf>
    <xf numFmtId="14" fontId="9" fillId="4" borderId="1" xfId="0" applyNumberFormat="1" applyFont="1" applyFill="1" applyBorder="1" applyAlignment="1">
      <alignment horizontal="left"/>
    </xf>
    <xf numFmtId="0" fontId="9" fillId="7" borderId="1" xfId="0" applyFont="1" applyFill="1" applyBorder="1" applyAlignment="1">
      <alignment horizontal="left" vertical="center"/>
    </xf>
    <xf numFmtId="0" fontId="1" fillId="8" borderId="0" xfId="0" applyFont="1" applyFill="1"/>
    <xf numFmtId="0" fontId="1" fillId="3" borderId="2" xfId="0" applyFont="1" applyFill="1" applyBorder="1" applyAlignment="1">
      <alignment vertical="center"/>
    </xf>
    <xf numFmtId="0" fontId="9" fillId="4" borderId="0" xfId="0" applyFont="1" applyFill="1"/>
    <xf numFmtId="0" fontId="12" fillId="4" borderId="0" xfId="0" applyFont="1" applyFill="1"/>
    <xf numFmtId="0" fontId="0" fillId="7" borderId="0" xfId="0" applyFill="1"/>
    <xf numFmtId="0" fontId="13" fillId="4" borderId="0" xfId="0" applyFont="1" applyFill="1"/>
    <xf numFmtId="0" fontId="14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16" fontId="0" fillId="4" borderId="0" xfId="0" applyNumberFormat="1" applyFill="1"/>
    <xf numFmtId="14" fontId="0" fillId="4" borderId="0" xfId="0" applyNumberFormat="1" applyFill="1"/>
    <xf numFmtId="0" fontId="11" fillId="4" borderId="2" xfId="0" applyFont="1" applyFill="1" applyBorder="1" applyAlignment="1">
      <alignment horizontal="left"/>
    </xf>
    <xf numFmtId="0" fontId="9" fillId="9" borderId="1" xfId="0" applyFont="1" applyFill="1" applyBorder="1" applyAlignment="1">
      <alignment horizontal="left"/>
    </xf>
    <xf numFmtId="14" fontId="9" fillId="9" borderId="1" xfId="0" applyNumberFormat="1" applyFont="1" applyFill="1" applyBorder="1" applyAlignment="1">
      <alignment horizontal="left"/>
    </xf>
    <xf numFmtId="0" fontId="9" fillId="9" borderId="1" xfId="0" applyFont="1" applyFill="1" applyBorder="1" applyAlignment="1">
      <alignment horizontal="left" vertical="center"/>
    </xf>
    <xf numFmtId="0" fontId="9" fillId="9" borderId="1" xfId="0" applyFont="1" applyFill="1" applyBorder="1"/>
    <xf numFmtId="0" fontId="8" fillId="4" borderId="1" xfId="0" applyFont="1" applyFill="1" applyBorder="1" applyAlignment="1">
      <alignment vertical="center"/>
    </xf>
    <xf numFmtId="0" fontId="8" fillId="4" borderId="1" xfId="0" applyFont="1" applyFill="1" applyBorder="1"/>
    <xf numFmtId="0" fontId="0" fillId="9" borderId="0" xfId="0" applyFill="1"/>
    <xf numFmtId="0" fontId="9" fillId="10" borderId="1" xfId="0" applyFont="1" applyFill="1" applyBorder="1" applyAlignment="1">
      <alignment horizontal="left"/>
    </xf>
    <xf numFmtId="0" fontId="0" fillId="10" borderId="0" xfId="0" applyFill="1"/>
    <xf numFmtId="0" fontId="15" fillId="6" borderId="0" xfId="0" applyFont="1" applyFill="1"/>
    <xf numFmtId="0" fontId="16" fillId="11" borderId="3" xfId="0" applyFont="1" applyFill="1" applyBorder="1"/>
    <xf numFmtId="0" fontId="16" fillId="11" borderId="4" xfId="0" applyFont="1" applyFill="1" applyBorder="1"/>
    <xf numFmtId="0" fontId="17" fillId="0" borderId="0" xfId="0" applyFont="1"/>
    <xf numFmtId="0" fontId="16" fillId="11" borderId="5" xfId="0" applyFont="1" applyFill="1" applyBorder="1" applyAlignment="1">
      <alignment horizontal="center"/>
    </xf>
    <xf numFmtId="0" fontId="16" fillId="11" borderId="6" xfId="0" applyFont="1" applyFill="1" applyBorder="1" applyAlignment="1">
      <alignment horizontal="center"/>
    </xf>
    <xf numFmtId="0" fontId="17" fillId="0" borderId="7" xfId="0" applyFont="1" applyBorder="1"/>
    <xf numFmtId="0" fontId="17" fillId="0" borderId="1" xfId="0" applyFont="1" applyBorder="1"/>
    <xf numFmtId="0" fontId="18" fillId="0" borderId="0" xfId="0" applyFont="1" applyBorder="1" applyAlignment="1"/>
    <xf numFmtId="0" fontId="18" fillId="0" borderId="8" xfId="0" applyFont="1" applyBorder="1" applyAlignment="1"/>
    <xf numFmtId="0" fontId="17" fillId="0" borderId="9" xfId="0" applyFont="1" applyBorder="1" applyAlignment="1">
      <alignment horizontal="left" vertical="center"/>
    </xf>
    <xf numFmtId="0" fontId="17" fillId="11" borderId="2" xfId="0" applyFont="1" applyFill="1" applyBorder="1"/>
    <xf numFmtId="0" fontId="17" fillId="0" borderId="0" xfId="0" applyFont="1" applyBorder="1"/>
    <xf numFmtId="0" fontId="17" fillId="0" borderId="8" xfId="0" applyFont="1" applyBorder="1"/>
    <xf numFmtId="0" fontId="17" fillId="0" borderId="10" xfId="0" applyFont="1" applyBorder="1" applyAlignment="1">
      <alignment horizontal="left" vertical="center"/>
    </xf>
    <xf numFmtId="0" fontId="17" fillId="0" borderId="2" xfId="0" applyFont="1" applyFill="1" applyBorder="1"/>
    <xf numFmtId="0" fontId="17" fillId="0" borderId="1" xfId="0" applyFont="1" applyBorder="1" applyAlignment="1"/>
    <xf numFmtId="0" fontId="16" fillId="0" borderId="1" xfId="0" applyFont="1" applyBorder="1"/>
    <xf numFmtId="0" fontId="17" fillId="11" borderId="11" xfId="0" applyFont="1" applyFill="1" applyBorder="1"/>
    <xf numFmtId="0" fontId="17" fillId="0" borderId="11" xfId="0" applyFont="1" applyFill="1" applyBorder="1"/>
    <xf numFmtId="0" fontId="18" fillId="0" borderId="12" xfId="0" applyFont="1" applyBorder="1" applyAlignment="1"/>
    <xf numFmtId="0" fontId="18" fillId="0" borderId="13" xfId="0" applyFont="1" applyBorder="1" applyAlignment="1"/>
    <xf numFmtId="0" fontId="17" fillId="0" borderId="14" xfId="0" applyFont="1" applyBorder="1" applyAlignment="1">
      <alignment horizontal="left" vertical="center"/>
    </xf>
    <xf numFmtId="0" fontId="17" fillId="0" borderId="15" xfId="0" applyFont="1" applyBorder="1"/>
    <xf numFmtId="0" fontId="17" fillId="0" borderId="0" xfId="0" applyFont="1" applyAlignment="1">
      <alignment horizontal="center"/>
    </xf>
    <xf numFmtId="0" fontId="17" fillId="0" borderId="16" xfId="0" applyFont="1" applyFill="1" applyBorder="1"/>
    <xf numFmtId="0" fontId="0" fillId="0" borderId="0" xfId="0" applyBorder="1"/>
    <xf numFmtId="0" fontId="17" fillId="0" borderId="0" xfId="0" applyFont="1" applyFill="1" applyBorder="1"/>
    <xf numFmtId="0" fontId="17" fillId="0" borderId="17" xfId="0" applyFont="1" applyFill="1" applyBorder="1"/>
    <xf numFmtId="0" fontId="17" fillId="0" borderId="18" xfId="0" applyFont="1" applyFill="1" applyBorder="1"/>
    <xf numFmtId="0" fontId="17" fillId="0" borderId="19" xfId="0" applyFont="1" applyBorder="1"/>
    <xf numFmtId="0" fontId="17" fillId="0" borderId="0" xfId="0" applyFont="1" applyBorder="1" applyAlignment="1">
      <alignment horizontal="center"/>
    </xf>
    <xf numFmtId="0" fontId="16" fillId="11" borderId="20" xfId="0" applyFont="1" applyFill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16" fillId="11" borderId="23" xfId="0" applyFont="1" applyFill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16" fillId="11" borderId="26" xfId="0" applyFont="1" applyFill="1" applyBorder="1" applyAlignment="1">
      <alignment horizontal="center"/>
    </xf>
    <xf numFmtId="0" fontId="18" fillId="0" borderId="16" xfId="0" applyFont="1" applyBorder="1" applyAlignment="1">
      <alignment horizontal="left"/>
    </xf>
    <xf numFmtId="0" fontId="18" fillId="0" borderId="16" xfId="0" applyFont="1" applyBorder="1" applyAlignment="1">
      <alignment horizontal="left" wrapText="1"/>
    </xf>
    <xf numFmtId="0" fontId="18" fillId="0" borderId="27" xfId="0" applyFont="1" applyBorder="1" applyAlignment="1">
      <alignment horizontal="left"/>
    </xf>
    <xf numFmtId="0" fontId="17" fillId="0" borderId="28" xfId="0" applyFont="1" applyFill="1" applyBorder="1"/>
    <xf numFmtId="0" fontId="17" fillId="0" borderId="29" xfId="0" applyFont="1" applyFill="1" applyBorder="1"/>
  </cellXfs>
  <cellStyles count="2">
    <cellStyle name="Hyperlink" xfId="1" builtinId="8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colors>
    <mruColors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459442</xdr:colOff>
      <xdr:row>21</xdr:row>
      <xdr:rowOff>89646</xdr:rowOff>
    </xdr:from>
    <xdr:to>
      <xdr:col>12</xdr:col>
      <xdr:colOff>358813</xdr:colOff>
      <xdr:row>28</xdr:row>
      <xdr:rowOff>148023</xdr:rowOff>
    </xdr:to>
    <xdr:pic macro="[0]!Draft_ES_ACK_Letter.ClearContents">
      <xdr:nvPicPr>
        <xdr:cNvPr id="2" name="Picture 1">
          <a:extLst>
            <a:ext uri="{FF2B5EF4-FFF2-40B4-BE49-F238E27FC236}">
              <a16:creationId xmlns:a16="http://schemas.microsoft.com/office/drawing/2014/main" id="{21210269-CA8E-DE09-0AEA-752F9971A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50471" y="4594411"/>
          <a:ext cx="1714724" cy="1391877"/>
        </a:xfrm>
        <a:prstGeom prst="rect">
          <a:avLst/>
        </a:prstGeom>
      </xdr:spPr>
    </xdr:pic>
    <xdr:clientData/>
  </xdr:twoCellAnchor>
  <xdr:twoCellAnchor editAs="oneCell">
    <xdr:from>
      <xdr:col>8</xdr:col>
      <xdr:colOff>224117</xdr:colOff>
      <xdr:row>10</xdr:row>
      <xdr:rowOff>0</xdr:rowOff>
    </xdr:from>
    <xdr:to>
      <xdr:col>14</xdr:col>
      <xdr:colOff>122934</xdr:colOff>
      <xdr:row>18</xdr:row>
      <xdr:rowOff>3620</xdr:rowOff>
    </xdr:to>
    <xdr:pic macro="[0]!Draft_ES_ACK_Letter.Draft_ES_ACK_Letter">
      <xdr:nvPicPr>
        <xdr:cNvPr id="3" name="Picture 2">
          <a:extLst>
            <a:ext uri="{FF2B5EF4-FFF2-40B4-BE49-F238E27FC236}">
              <a16:creationId xmlns:a16="http://schemas.microsoft.com/office/drawing/2014/main" id="{B4FED0B4-3F0A-2A97-9996-6595490E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0029" y="2409265"/>
          <a:ext cx="3529523" cy="1527620"/>
        </a:xfrm>
        <a:prstGeom prst="rect">
          <a:avLst/>
        </a:prstGeom>
      </xdr:spPr>
    </xdr:pic>
    <xdr:clientData/>
  </xdr:twoCellAnchor>
  <xdr:twoCellAnchor editAs="oneCell">
    <xdr:from>
      <xdr:col>8</xdr:col>
      <xdr:colOff>56030</xdr:colOff>
      <xdr:row>1</xdr:row>
      <xdr:rowOff>302558</xdr:rowOff>
    </xdr:from>
    <xdr:to>
      <xdr:col>14</xdr:col>
      <xdr:colOff>278330</xdr:colOff>
      <xdr:row>6</xdr:row>
      <xdr:rowOff>7442</xdr:rowOff>
    </xdr:to>
    <xdr:pic macro="[0]!ExtractIMSDataToExcel_ACKLetter">
      <xdr:nvPicPr>
        <xdr:cNvPr id="4" name="Picture 3">
          <a:extLst>
            <a:ext uri="{FF2B5EF4-FFF2-40B4-BE49-F238E27FC236}">
              <a16:creationId xmlns:a16="http://schemas.microsoft.com/office/drawing/2014/main" id="{89FE5499-04D3-59FD-BDC0-0B486ADB0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41942" y="593911"/>
          <a:ext cx="3853006" cy="10607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268942</xdr:colOff>
      <xdr:row>0</xdr:row>
      <xdr:rowOff>235323</xdr:rowOff>
    </xdr:from>
    <xdr:to>
      <xdr:col>11</xdr:col>
      <xdr:colOff>571500</xdr:colOff>
      <xdr:row>3</xdr:row>
      <xdr:rowOff>44823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641B00AB-79B9-0B9B-2959-D821F93A070A}"/>
            </a:ext>
          </a:extLst>
        </xdr:cNvPr>
        <xdr:cNvSpPr/>
      </xdr:nvSpPr>
      <xdr:spPr>
        <a:xfrm>
          <a:off x="13984942" y="23532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1</a:t>
          </a:r>
        </a:p>
      </xdr:txBody>
    </xdr:sp>
    <xdr:clientData/>
  </xdr:twoCellAnchor>
  <xdr:twoCellAnchor>
    <xdr:from>
      <xdr:col>10</xdr:col>
      <xdr:colOff>268942</xdr:colOff>
      <xdr:row>4</xdr:row>
      <xdr:rowOff>52293</xdr:rowOff>
    </xdr:from>
    <xdr:to>
      <xdr:col>11</xdr:col>
      <xdr:colOff>571500</xdr:colOff>
      <xdr:row>7</xdr:row>
      <xdr:rowOff>74705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6FDD0F7-BB92-4DB1-A4DA-2C47A069619C}"/>
            </a:ext>
          </a:extLst>
        </xdr:cNvPr>
        <xdr:cNvSpPr/>
      </xdr:nvSpPr>
      <xdr:spPr>
        <a:xfrm>
          <a:off x="13984942" y="100479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2</a:t>
          </a:r>
        </a:p>
      </xdr:txBody>
    </xdr:sp>
    <xdr:clientData/>
  </xdr:twoCellAnchor>
  <xdr:twoCellAnchor>
    <xdr:from>
      <xdr:col>10</xdr:col>
      <xdr:colOff>268942</xdr:colOff>
      <xdr:row>9</xdr:row>
      <xdr:rowOff>3734</xdr:rowOff>
    </xdr:from>
    <xdr:to>
      <xdr:col>11</xdr:col>
      <xdr:colOff>571500</xdr:colOff>
      <xdr:row>10</xdr:row>
      <xdr:rowOff>183028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59CB7741-3A18-420B-9327-9D096C2E2DD0}"/>
            </a:ext>
          </a:extLst>
        </xdr:cNvPr>
        <xdr:cNvSpPr/>
      </xdr:nvSpPr>
      <xdr:spPr>
        <a:xfrm>
          <a:off x="13984942" y="177426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3</a:t>
          </a:r>
        </a:p>
      </xdr:txBody>
    </xdr:sp>
    <xdr:clientData/>
  </xdr:twoCellAnchor>
  <xdr:twoCellAnchor>
    <xdr:from>
      <xdr:col>10</xdr:col>
      <xdr:colOff>268942</xdr:colOff>
      <xdr:row>12</xdr:row>
      <xdr:rowOff>22410</xdr:rowOff>
    </xdr:from>
    <xdr:to>
      <xdr:col>11</xdr:col>
      <xdr:colOff>571500</xdr:colOff>
      <xdr:row>17</xdr:row>
      <xdr:rowOff>11205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B357DD72-A1B0-4D37-902B-D475349DB10A}"/>
            </a:ext>
          </a:extLst>
        </xdr:cNvPr>
        <xdr:cNvSpPr/>
      </xdr:nvSpPr>
      <xdr:spPr>
        <a:xfrm>
          <a:off x="13984942" y="2543734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4</a:t>
          </a:r>
        </a:p>
      </xdr:txBody>
    </xdr:sp>
    <xdr:clientData/>
  </xdr:twoCellAnchor>
  <xdr:twoCellAnchor>
    <xdr:from>
      <xdr:col>12</xdr:col>
      <xdr:colOff>324973</xdr:colOff>
      <xdr:row>0</xdr:row>
      <xdr:rowOff>246529</xdr:rowOff>
    </xdr:from>
    <xdr:to>
      <xdr:col>17</xdr:col>
      <xdr:colOff>371768</xdr:colOff>
      <xdr:row>3</xdr:row>
      <xdr:rowOff>44823</xdr:rowOff>
    </xdr:to>
    <xdr:sp macro="[0]!Run_ClearanceRepor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A9AAECF-218D-7860-0EE5-DC772BE28080}"/>
            </a:ext>
          </a:extLst>
        </xdr:cNvPr>
        <xdr:cNvSpPr/>
      </xdr:nvSpPr>
      <xdr:spPr>
        <a:xfrm>
          <a:off x="15251208" y="246529"/>
          <a:ext cx="3072384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Run Clearance Report</a:t>
          </a:r>
        </a:p>
      </xdr:txBody>
    </xdr:sp>
    <xdr:clientData/>
  </xdr:twoCellAnchor>
  <xdr:twoCellAnchor>
    <xdr:from>
      <xdr:col>12</xdr:col>
      <xdr:colOff>324973</xdr:colOff>
      <xdr:row>4</xdr:row>
      <xdr:rowOff>74705</xdr:rowOff>
    </xdr:from>
    <xdr:to>
      <xdr:col>17</xdr:col>
      <xdr:colOff>369795</xdr:colOff>
      <xdr:row>7</xdr:row>
      <xdr:rowOff>85911</xdr:rowOff>
    </xdr:to>
    <xdr:sp macro="[0]!ExtractReportDataToExcel_2ndInLette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6AE9126-03F0-41AB-B362-F24F368DFF2F}"/>
            </a:ext>
          </a:extLst>
        </xdr:cNvPr>
        <xdr:cNvSpPr/>
      </xdr:nvSpPr>
      <xdr:spPr>
        <a:xfrm>
          <a:off x="15251208" y="1027205"/>
          <a:ext cx="3070411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Extract Data from Report to Excel</a:t>
          </a:r>
        </a:p>
      </xdr:txBody>
    </xdr:sp>
    <xdr:clientData/>
  </xdr:twoCellAnchor>
  <xdr:twoCellAnchor>
    <xdr:from>
      <xdr:col>12</xdr:col>
      <xdr:colOff>324973</xdr:colOff>
      <xdr:row>9</xdr:row>
      <xdr:rowOff>37352</xdr:rowOff>
    </xdr:from>
    <xdr:to>
      <xdr:col>17</xdr:col>
      <xdr:colOff>369795</xdr:colOff>
      <xdr:row>10</xdr:row>
      <xdr:rowOff>205440</xdr:rowOff>
    </xdr:to>
    <xdr:sp macro="[0]!Draft_2nd_In_To_UW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FF39AD0-0CE1-4DF0-9EAC-AB0C1A4637FF}"/>
            </a:ext>
          </a:extLst>
        </xdr:cNvPr>
        <xdr:cNvSpPr/>
      </xdr:nvSpPr>
      <xdr:spPr>
        <a:xfrm>
          <a:off x="15251208" y="1807881"/>
          <a:ext cx="3070411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Draft 2nd In Letter</a:t>
          </a:r>
        </a:p>
      </xdr:txBody>
    </xdr:sp>
    <xdr:clientData/>
  </xdr:twoCellAnchor>
  <xdr:twoCellAnchor>
    <xdr:from>
      <xdr:col>12</xdr:col>
      <xdr:colOff>324973</xdr:colOff>
      <xdr:row>12</xdr:row>
      <xdr:rowOff>67234</xdr:rowOff>
    </xdr:from>
    <xdr:to>
      <xdr:col>17</xdr:col>
      <xdr:colOff>369795</xdr:colOff>
      <xdr:row>17</xdr:row>
      <xdr:rowOff>44823</xdr:rowOff>
    </xdr:to>
    <xdr:sp macro="[0]!Draft_2nd_In_To_UW_New.ClearContent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923F772B-4AC5-4596-8213-B1E8A891223D}"/>
            </a:ext>
          </a:extLst>
        </xdr:cNvPr>
        <xdr:cNvSpPr/>
      </xdr:nvSpPr>
      <xdr:spPr>
        <a:xfrm>
          <a:off x="15251208" y="2588558"/>
          <a:ext cx="3070411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Clear Contents</a:t>
          </a:r>
        </a:p>
      </xdr:txBody>
    </xdr:sp>
    <xdr:clientData/>
  </xdr:twoCellAnchor>
  <xdr:twoCellAnchor>
    <xdr:from>
      <xdr:col>0</xdr:col>
      <xdr:colOff>156882</xdr:colOff>
      <xdr:row>23</xdr:row>
      <xdr:rowOff>112059</xdr:rowOff>
    </xdr:from>
    <xdr:to>
      <xdr:col>1</xdr:col>
      <xdr:colOff>1064559</xdr:colOff>
      <xdr:row>26</xdr:row>
      <xdr:rowOff>179295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EFC5859-63AE-FD96-2BC5-7A42EDA73206}"/>
            </a:ext>
          </a:extLst>
        </xdr:cNvPr>
        <xdr:cNvSpPr/>
      </xdr:nvSpPr>
      <xdr:spPr>
        <a:xfrm>
          <a:off x="156882" y="4616824"/>
          <a:ext cx="3384177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Click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r>
            <a:rPr lang="en-US" sz="1600" b="1" baseline="0">
              <a:solidFill>
                <a:sysClr val="windowText" lastClr="000000"/>
              </a:solidFill>
            </a:rPr>
            <a:t>Run Clearance Report ①</a:t>
          </a:r>
        </a:p>
      </xdr:txBody>
    </xdr:sp>
    <xdr:clientData/>
  </xdr:twoCellAnchor>
  <xdr:twoCellAnchor>
    <xdr:from>
      <xdr:col>5</xdr:col>
      <xdr:colOff>112056</xdr:colOff>
      <xdr:row>23</xdr:row>
      <xdr:rowOff>112059</xdr:rowOff>
    </xdr:from>
    <xdr:to>
      <xdr:col>6</xdr:col>
      <xdr:colOff>1243852</xdr:colOff>
      <xdr:row>26</xdr:row>
      <xdr:rowOff>179295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DE2DD69B-B47D-4C2B-A9B1-606E8BD64E44}"/>
            </a:ext>
          </a:extLst>
        </xdr:cNvPr>
        <xdr:cNvSpPr/>
      </xdr:nvSpPr>
      <xdr:spPr>
        <a:xfrm>
          <a:off x="8225115" y="8202706"/>
          <a:ext cx="3350561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Extract Data from Report to Excel ③</a:t>
          </a:r>
        </a:p>
      </xdr:txBody>
    </xdr:sp>
    <xdr:clientData/>
  </xdr:twoCellAnchor>
  <xdr:twoCellAnchor>
    <xdr:from>
      <xdr:col>7</xdr:col>
      <xdr:colOff>425823</xdr:colOff>
      <xdr:row>23</xdr:row>
      <xdr:rowOff>112059</xdr:rowOff>
    </xdr:from>
    <xdr:to>
      <xdr:col>11</xdr:col>
      <xdr:colOff>100852</xdr:colOff>
      <xdr:row>26</xdr:row>
      <xdr:rowOff>179295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AF973968-EE16-4667-A70A-73D2A9B37665}"/>
            </a:ext>
          </a:extLst>
        </xdr:cNvPr>
        <xdr:cNvSpPr/>
      </xdr:nvSpPr>
      <xdr:spPr>
        <a:xfrm>
          <a:off x="12214411" y="8202706"/>
          <a:ext cx="3059206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Draft 2nd in Letter ④</a:t>
          </a:r>
        </a:p>
      </xdr:txBody>
    </xdr:sp>
    <xdr:clientData/>
  </xdr:twoCellAnchor>
  <xdr:twoCellAnchor>
    <xdr:from>
      <xdr:col>11</xdr:col>
      <xdr:colOff>100852</xdr:colOff>
      <xdr:row>25</xdr:row>
      <xdr:rowOff>50427</xdr:rowOff>
    </xdr:from>
    <xdr:to>
      <xdr:col>12</xdr:col>
      <xdr:colOff>235321</xdr:colOff>
      <xdr:row>25</xdr:row>
      <xdr:rowOff>50427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9BBB3E0E-60B7-4732-A6F9-09C51DC8A911}"/>
            </a:ext>
          </a:extLst>
        </xdr:cNvPr>
        <xdr:cNvCxnSpPr>
          <a:stCxn id="20" idx="3"/>
          <a:endCxn id="22" idx="1"/>
        </xdr:cNvCxnSpPr>
      </xdr:nvCxnSpPr>
      <xdr:spPr>
        <a:xfrm>
          <a:off x="15273617" y="8522074"/>
          <a:ext cx="739586" cy="0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235321</xdr:colOff>
      <xdr:row>23</xdr:row>
      <xdr:rowOff>112059</xdr:rowOff>
    </xdr:from>
    <xdr:to>
      <xdr:col>17</xdr:col>
      <xdr:colOff>268938</xdr:colOff>
      <xdr:row>26</xdr:row>
      <xdr:rowOff>179295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10DC92C9-4E94-44E9-8135-D8C53E1ABEFE}"/>
            </a:ext>
          </a:extLst>
        </xdr:cNvPr>
        <xdr:cNvSpPr/>
      </xdr:nvSpPr>
      <xdr:spPr>
        <a:xfrm>
          <a:off x="16013203" y="8169088"/>
          <a:ext cx="3059206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Clear Contents ⑤</a:t>
          </a:r>
        </a:p>
      </xdr:txBody>
    </xdr:sp>
    <xdr:clientData/>
  </xdr:twoCellAnchor>
  <xdr:twoCellAnchor>
    <xdr:from>
      <xdr:col>6</xdr:col>
      <xdr:colOff>1243852</xdr:colOff>
      <xdr:row>25</xdr:row>
      <xdr:rowOff>50427</xdr:rowOff>
    </xdr:from>
    <xdr:to>
      <xdr:col>7</xdr:col>
      <xdr:colOff>425823</xdr:colOff>
      <xdr:row>25</xdr:row>
      <xdr:rowOff>50427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AF0E8C66-1358-4120-B632-29DA5C6DEEE1}"/>
            </a:ext>
          </a:extLst>
        </xdr:cNvPr>
        <xdr:cNvCxnSpPr>
          <a:stCxn id="17" idx="3"/>
          <a:endCxn id="20" idx="1"/>
        </xdr:cNvCxnSpPr>
      </xdr:nvCxnSpPr>
      <xdr:spPr>
        <a:xfrm>
          <a:off x="11575676" y="8522074"/>
          <a:ext cx="638735" cy="0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1855321</xdr:colOff>
      <xdr:row>23</xdr:row>
      <xdr:rowOff>105709</xdr:rowOff>
    </xdr:from>
    <xdr:to>
      <xdr:col>14</xdr:col>
      <xdr:colOff>561039</xdr:colOff>
      <xdr:row>23</xdr:row>
      <xdr:rowOff>118409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122392E5-B6CB-6B6A-69CB-A23A2DDA5155}"/>
            </a:ext>
          </a:extLst>
        </xdr:cNvPr>
        <xdr:cNvCxnSpPr>
          <a:cxnSpLocks/>
          <a:stCxn id="22" idx="0"/>
          <a:endCxn id="9" idx="0"/>
        </xdr:cNvCxnSpPr>
      </xdr:nvCxnSpPr>
      <xdr:spPr>
        <a:xfrm rot="16200000" flipV="1">
          <a:off x="9863977" y="-3443006"/>
          <a:ext cx="12700" cy="16030012"/>
        </a:xfrm>
        <a:prstGeom prst="bentConnector3">
          <a:avLst>
            <a:gd name="adj1" fmla="val 1800000"/>
          </a:avLst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1064559</xdr:colOff>
      <xdr:row>25</xdr:row>
      <xdr:rowOff>50426</xdr:rowOff>
    </xdr:from>
    <xdr:to>
      <xdr:col>2</xdr:col>
      <xdr:colOff>705971</xdr:colOff>
      <xdr:row>25</xdr:row>
      <xdr:rowOff>50427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EB7D24E5-44E4-4CB1-9576-4CB78EF1CDC7}"/>
            </a:ext>
          </a:extLst>
        </xdr:cNvPr>
        <xdr:cNvCxnSpPr>
          <a:stCxn id="9" idx="3"/>
          <a:endCxn id="32" idx="1"/>
        </xdr:cNvCxnSpPr>
      </xdr:nvCxnSpPr>
      <xdr:spPr>
        <a:xfrm flipV="1">
          <a:off x="3541059" y="4936191"/>
          <a:ext cx="739588" cy="1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705971</xdr:colOff>
      <xdr:row>23</xdr:row>
      <xdr:rowOff>112058</xdr:rowOff>
    </xdr:from>
    <xdr:to>
      <xdr:col>4</xdr:col>
      <xdr:colOff>1456764</xdr:colOff>
      <xdr:row>26</xdr:row>
      <xdr:rowOff>179294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43897509-C6EA-4FE1-9DFB-750C32FD1D23}"/>
            </a:ext>
          </a:extLst>
        </xdr:cNvPr>
        <xdr:cNvSpPr/>
      </xdr:nvSpPr>
      <xdr:spPr>
        <a:xfrm>
          <a:off x="4280647" y="8202705"/>
          <a:ext cx="3294529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Fill the information in the yellow cells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②</a:t>
          </a:r>
        </a:p>
      </xdr:txBody>
    </xdr:sp>
    <xdr:clientData/>
  </xdr:twoCellAnchor>
  <xdr:twoCellAnchor>
    <xdr:from>
      <xdr:col>4</xdr:col>
      <xdr:colOff>1456764</xdr:colOff>
      <xdr:row>25</xdr:row>
      <xdr:rowOff>50426</xdr:rowOff>
    </xdr:from>
    <xdr:to>
      <xdr:col>5</xdr:col>
      <xdr:colOff>112056</xdr:colOff>
      <xdr:row>25</xdr:row>
      <xdr:rowOff>50427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F63043F4-3AC1-4434-BB0C-7404182F00B0}"/>
            </a:ext>
          </a:extLst>
        </xdr:cNvPr>
        <xdr:cNvCxnSpPr>
          <a:stCxn id="32" idx="3"/>
          <a:endCxn id="17" idx="1"/>
        </xdr:cNvCxnSpPr>
      </xdr:nvCxnSpPr>
      <xdr:spPr>
        <a:xfrm>
          <a:off x="7575176" y="8522073"/>
          <a:ext cx="649939" cy="1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212911</xdr:colOff>
      <xdr:row>31</xdr:row>
      <xdr:rowOff>22412</xdr:rowOff>
    </xdr:from>
    <xdr:to>
      <xdr:col>0</xdr:col>
      <xdr:colOff>2165809</xdr:colOff>
      <xdr:row>37</xdr:row>
      <xdr:rowOff>49496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2FC5EAD-0B61-431F-932E-02D5BDB79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911" y="9648265"/>
          <a:ext cx="1952898" cy="1170084"/>
        </a:xfrm>
        <a:prstGeom prst="rect">
          <a:avLst/>
        </a:prstGeom>
      </xdr:spPr>
    </xdr:pic>
    <xdr:clientData/>
  </xdr:twoCellAnchor>
  <xdr:twoCellAnchor editAs="oneCell">
    <xdr:from>
      <xdr:col>0</xdr:col>
      <xdr:colOff>156883</xdr:colOff>
      <xdr:row>45</xdr:row>
      <xdr:rowOff>33618</xdr:rowOff>
    </xdr:from>
    <xdr:to>
      <xdr:col>0</xdr:col>
      <xdr:colOff>2090728</xdr:colOff>
      <xdr:row>51</xdr:row>
      <xdr:rowOff>3549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D0A871-58C3-405E-83F7-7C80F6BAC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883" y="12326471"/>
          <a:ext cx="1933845" cy="111293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tty_xu/Desktop/UserFor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UW Info"/>
      <sheetName val="LOB"/>
    </sheet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bbouyerwindley@skywardinsurance.com" TargetMode="External"/><Relationship Id="rId13" Type="http://schemas.openxmlformats.org/officeDocument/2006/relationships/hyperlink" Target="mailto:jmarques@skywardinsurance.com" TargetMode="External"/><Relationship Id="rId18" Type="http://schemas.openxmlformats.org/officeDocument/2006/relationships/hyperlink" Target="mailto:lgeorge@skywardinsurance.com" TargetMode="External"/><Relationship Id="rId3" Type="http://schemas.openxmlformats.org/officeDocument/2006/relationships/hyperlink" Target="mailto:dkearney@skywardinsurance.com" TargetMode="External"/><Relationship Id="rId7" Type="http://schemas.openxmlformats.org/officeDocument/2006/relationships/hyperlink" Target="mailto:pgadaleta@skywardinsurance.com" TargetMode="External"/><Relationship Id="rId12" Type="http://schemas.openxmlformats.org/officeDocument/2006/relationships/hyperlink" Target="mailto:mlove@skywardinsurance.com" TargetMode="External"/><Relationship Id="rId17" Type="http://schemas.openxmlformats.org/officeDocument/2006/relationships/hyperlink" Target="mailto:sdorman@skywardinsurance.com" TargetMode="External"/><Relationship Id="rId2" Type="http://schemas.openxmlformats.org/officeDocument/2006/relationships/hyperlink" Target="mailto:jpuccio@skywardinsurance.com" TargetMode="External"/><Relationship Id="rId16" Type="http://schemas.openxmlformats.org/officeDocument/2006/relationships/hyperlink" Target="mailto:jma@skywardinsurance.com" TargetMode="External"/><Relationship Id="rId1" Type="http://schemas.openxmlformats.org/officeDocument/2006/relationships/hyperlink" Target="mailto:mboland@skywardinsurance.com" TargetMode="External"/><Relationship Id="rId6" Type="http://schemas.openxmlformats.org/officeDocument/2006/relationships/hyperlink" Target="mailto:mholmes@skywardinsurance.com" TargetMode="External"/><Relationship Id="rId11" Type="http://schemas.openxmlformats.org/officeDocument/2006/relationships/hyperlink" Target="mailto:mbutt@skywardinsurance.com" TargetMode="External"/><Relationship Id="rId5" Type="http://schemas.openxmlformats.org/officeDocument/2006/relationships/hyperlink" Target="mailto:darrell.crawford@skywardinsurance.com" TargetMode="External"/><Relationship Id="rId15" Type="http://schemas.openxmlformats.org/officeDocument/2006/relationships/hyperlink" Target="mailto:skirk@skywardinsurance.com" TargetMode="External"/><Relationship Id="rId10" Type="http://schemas.openxmlformats.org/officeDocument/2006/relationships/hyperlink" Target="mailto:jlove@skywardinsurance.com" TargetMode="External"/><Relationship Id="rId4" Type="http://schemas.openxmlformats.org/officeDocument/2006/relationships/hyperlink" Target="mailto:marias@skywardinsurance.com" TargetMode="External"/><Relationship Id="rId9" Type="http://schemas.openxmlformats.org/officeDocument/2006/relationships/hyperlink" Target="mailto:ndormer@skywardinsurance.com" TargetMode="External"/><Relationship Id="rId14" Type="http://schemas.openxmlformats.org/officeDocument/2006/relationships/hyperlink" Target="mailto:joneill@skywardinsurance.com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mailto:kwang@skywardinsurance.com" TargetMode="External"/><Relationship Id="rId7" Type="http://schemas.openxmlformats.org/officeDocument/2006/relationships/hyperlink" Target="mailto:aqu@skywardinsurance.com" TargetMode="External"/><Relationship Id="rId2" Type="http://schemas.openxmlformats.org/officeDocument/2006/relationships/hyperlink" Target="mailto:ywang@skywardinsurance.com" TargetMode="External"/><Relationship Id="rId1" Type="http://schemas.openxmlformats.org/officeDocument/2006/relationships/hyperlink" Target="mailto:szhang@skywardinsurance.com" TargetMode="External"/><Relationship Id="rId6" Type="http://schemas.openxmlformats.org/officeDocument/2006/relationships/hyperlink" Target="mailto:ujin@skywardinsurance.com" TargetMode="External"/><Relationship Id="rId5" Type="http://schemas.openxmlformats.org/officeDocument/2006/relationships/hyperlink" Target="mailto:hhui@skywardinsurance.com" TargetMode="External"/><Relationship Id="rId4" Type="http://schemas.openxmlformats.org/officeDocument/2006/relationships/hyperlink" Target="mailto:szhuang@skywardinsuranc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2"/>
  <sheetViews>
    <sheetView zoomScale="70" zoomScaleNormal="70" workbookViewId="0">
      <selection activeCell="C11" sqref="C11"/>
    </sheetView>
  </sheetViews>
  <sheetFormatPr defaultColWidth="9.1328125" defaultRowHeight="14.25" x14ac:dyDescent="0.45"/>
  <cols>
    <col min="1" max="1" width="29.1328125" style="3" customWidth="1"/>
    <col min="2" max="2" width="22" style="3" customWidth="1"/>
    <col min="3" max="3" width="29.86328125" style="3" customWidth="1"/>
    <col min="4" max="4" width="83.59765625" style="3" bestFit="1" customWidth="1"/>
    <col min="5" max="5" width="102.1328125" style="3" hidden="1" customWidth="1"/>
    <col min="6" max="16384" width="9.1328125" style="3"/>
  </cols>
  <sheetData>
    <row r="1" spans="1:5" ht="23.25" x14ac:dyDescent="0.45">
      <c r="A1" s="13" t="s">
        <v>2</v>
      </c>
      <c r="B1" s="13" t="s">
        <v>57</v>
      </c>
      <c r="C1" s="13" t="s">
        <v>6</v>
      </c>
      <c r="D1" s="14" t="s">
        <v>52</v>
      </c>
      <c r="E1" s="5" t="s">
        <v>122</v>
      </c>
    </row>
    <row r="2" spans="1:5" ht="24" customHeight="1" x14ac:dyDescent="0.5">
      <c r="A2" s="15"/>
      <c r="B2" s="15"/>
      <c r="C2" s="15"/>
      <c r="D2" s="21"/>
      <c r="E2" s="6" t="s">
        <v>123</v>
      </c>
    </row>
    <row r="3" spans="1:5" ht="24.75" customHeight="1" x14ac:dyDescent="0.5">
      <c r="A3" s="15"/>
      <c r="B3" s="15"/>
      <c r="C3" s="15"/>
      <c r="D3" s="16" t="s">
        <v>63</v>
      </c>
      <c r="E3" s="6"/>
    </row>
    <row r="4" spans="1:5" ht="28.5" customHeight="1" x14ac:dyDescent="0.5">
      <c r="A4" s="15"/>
      <c r="B4" s="15"/>
      <c r="C4" s="15"/>
      <c r="D4" s="16" t="s">
        <v>63</v>
      </c>
    </row>
    <row r="12" spans="1:5" x14ac:dyDescent="0.45">
      <c r="E12" s="7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'LOB List'!$A$2:$A$10</xm:f>
          </x14:formula1>
          <xm:sqref>B2:B4</xm:sqref>
        </x14:dataValidation>
        <x14:dataValidation type="list" allowBlank="1" showInputMessage="1" showErrorMessage="1">
          <x14:formula1>
            <xm:f>'UW Info'!$D$2:$D$49</xm:f>
          </x14:formula1>
          <xm:sqref>C2:C4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8"/>
  <sheetViews>
    <sheetView zoomScale="55" zoomScaleNormal="55" workbookViewId="0">
      <selection activeCell="X47" sqref="X47"/>
    </sheetView>
  </sheetViews>
  <sheetFormatPr defaultColWidth="9.1328125" defaultRowHeight="14.25" x14ac:dyDescent="0.45"/>
  <cols>
    <col min="1" max="1" width="37.1328125" style="3" customWidth="1"/>
    <col min="2" max="2" width="21.59765625" style="3" customWidth="1"/>
    <col min="3" max="3" width="23.265625" style="3" customWidth="1"/>
    <col min="4" max="4" width="14.73046875" style="3" customWidth="1"/>
    <col min="5" max="5" width="38.265625" style="3" customWidth="1"/>
    <col min="6" max="6" width="33.265625" style="3" customWidth="1"/>
    <col min="7" max="7" width="21.86328125" style="3" customWidth="1"/>
    <col min="8" max="8" width="23.59765625" style="3" customWidth="1"/>
    <col min="9" max="16384" width="9.1328125" style="3"/>
  </cols>
  <sheetData>
    <row r="1" spans="1:8" ht="23.25" x14ac:dyDescent="0.7">
      <c r="A1" s="10" t="s">
        <v>60</v>
      </c>
      <c r="B1" s="10" t="s">
        <v>2</v>
      </c>
      <c r="C1" s="10" t="s">
        <v>4</v>
      </c>
      <c r="D1" s="10" t="s">
        <v>5</v>
      </c>
      <c r="E1" s="10" t="s">
        <v>37</v>
      </c>
      <c r="F1" s="10" t="s">
        <v>1</v>
      </c>
      <c r="G1" s="10" t="s">
        <v>3</v>
      </c>
      <c r="H1" s="10" t="s">
        <v>6</v>
      </c>
    </row>
    <row r="2" spans="1:8" ht="23.25" x14ac:dyDescent="0.7">
      <c r="A2" s="11" t="s">
        <v>41</v>
      </c>
      <c r="B2" s="33"/>
      <c r="C2" s="34"/>
      <c r="D2" s="40"/>
      <c r="E2" s="17"/>
      <c r="F2" s="17"/>
      <c r="G2" s="18"/>
      <c r="H2" s="17"/>
    </row>
    <row r="3" spans="1:8" ht="6" customHeight="1" x14ac:dyDescent="0.7">
      <c r="A3" s="12"/>
      <c r="B3" s="19"/>
      <c r="C3" s="20"/>
      <c r="D3" s="19"/>
      <c r="E3" s="19"/>
      <c r="F3" s="19"/>
      <c r="G3" s="20"/>
      <c r="H3" s="19"/>
    </row>
    <row r="4" spans="1:8" ht="23.25" x14ac:dyDescent="0.7">
      <c r="A4" s="11" t="s">
        <v>0</v>
      </c>
      <c r="B4" s="33"/>
      <c r="C4" s="34"/>
      <c r="D4" s="40"/>
      <c r="E4" s="17"/>
      <c r="F4" s="17"/>
      <c r="G4" s="18"/>
      <c r="H4" s="17"/>
    </row>
    <row r="5" spans="1:8" ht="6" customHeight="1" x14ac:dyDescent="0.7">
      <c r="A5" s="12"/>
      <c r="B5" s="19"/>
      <c r="C5" s="20"/>
      <c r="D5" s="19"/>
      <c r="E5" s="19"/>
      <c r="F5" s="19"/>
      <c r="G5" s="20"/>
      <c r="H5" s="19"/>
    </row>
    <row r="6" spans="1:8" ht="23.25" x14ac:dyDescent="0.7">
      <c r="A6" s="11" t="s">
        <v>110</v>
      </c>
      <c r="B6" s="33"/>
      <c r="C6" s="34"/>
      <c r="D6" s="40"/>
      <c r="E6" s="17"/>
      <c r="F6" s="17"/>
      <c r="G6" s="18"/>
      <c r="H6" s="17"/>
    </row>
    <row r="7" spans="1:8" ht="6" customHeight="1" x14ac:dyDescent="0.7">
      <c r="A7" s="12"/>
      <c r="B7" s="19"/>
      <c r="C7" s="20"/>
      <c r="D7" s="19"/>
      <c r="E7" s="19"/>
      <c r="F7" s="19"/>
      <c r="G7" s="20"/>
      <c r="H7" s="19"/>
    </row>
    <row r="8" spans="1:8" ht="23.25" x14ac:dyDescent="0.7">
      <c r="A8" s="11" t="s">
        <v>112</v>
      </c>
      <c r="B8" s="33"/>
      <c r="C8" s="34"/>
      <c r="D8" s="40"/>
      <c r="E8" s="17"/>
      <c r="F8" s="17"/>
      <c r="G8" s="18"/>
      <c r="H8" s="17"/>
    </row>
    <row r="9" spans="1:8" ht="6" customHeight="1" x14ac:dyDescent="0.7">
      <c r="A9" s="12"/>
      <c r="B9" s="19"/>
      <c r="C9" s="20"/>
      <c r="D9" s="19"/>
      <c r="E9" s="19"/>
      <c r="F9" s="19"/>
      <c r="G9" s="20"/>
      <c r="H9" s="19"/>
    </row>
    <row r="10" spans="1:8" ht="23.25" x14ac:dyDescent="0.7">
      <c r="A10" s="11" t="s">
        <v>111</v>
      </c>
      <c r="B10" s="33"/>
      <c r="C10" s="34"/>
      <c r="D10" s="40"/>
      <c r="E10" s="17"/>
      <c r="F10" s="17"/>
      <c r="G10" s="18"/>
      <c r="H10" s="17"/>
    </row>
    <row r="11" spans="1:8" ht="21" customHeight="1" x14ac:dyDescent="0.45">
      <c r="A11" s="37" t="s">
        <v>52</v>
      </c>
      <c r="B11" s="35"/>
    </row>
    <row r="13" spans="1:8" ht="23.25" x14ac:dyDescent="0.7">
      <c r="A13" s="38" t="s">
        <v>40</v>
      </c>
      <c r="B13" s="36" t="s">
        <v>55</v>
      </c>
    </row>
    <row r="14" spans="1:8" ht="25.5" hidden="1" customHeight="1" x14ac:dyDescent="0.45">
      <c r="A14" s="8" t="s">
        <v>51</v>
      </c>
      <c r="B14" s="4" t="s">
        <v>42</v>
      </c>
    </row>
    <row r="15" spans="1:8" hidden="1" x14ac:dyDescent="0.45">
      <c r="A15" s="8" t="s">
        <v>54</v>
      </c>
      <c r="B15" s="9" t="s">
        <v>64</v>
      </c>
    </row>
    <row r="16" spans="1:8" hidden="1" x14ac:dyDescent="0.45">
      <c r="A16" s="8" t="s">
        <v>121</v>
      </c>
      <c r="B16" s="9" t="s">
        <v>120</v>
      </c>
    </row>
    <row r="18" spans="1:7" ht="15.75" x14ac:dyDescent="0.5">
      <c r="A18" s="24"/>
    </row>
    <row r="19" spans="1:7" ht="15.75" x14ac:dyDescent="0.5">
      <c r="A19" s="24"/>
      <c r="E19" s="39" t="s">
        <v>201</v>
      </c>
    </row>
    <row r="20" spans="1:7" ht="18" x14ac:dyDescent="0.55000000000000004">
      <c r="A20" s="27"/>
      <c r="E20" s="41" t="s">
        <v>202</v>
      </c>
    </row>
    <row r="21" spans="1:7" ht="25.5" x14ac:dyDescent="0.45">
      <c r="A21" s="28" t="s">
        <v>194</v>
      </c>
    </row>
    <row r="22" spans="1:7" ht="23.25" x14ac:dyDescent="0.45">
      <c r="F22" s="29" t="s">
        <v>199</v>
      </c>
      <c r="G22" s="29"/>
    </row>
    <row r="30" spans="1:7" s="26" customFormat="1" x14ac:dyDescent="0.45"/>
    <row r="31" spans="1:7" ht="15.75" x14ac:dyDescent="0.5">
      <c r="A31" s="24" t="s">
        <v>195</v>
      </c>
    </row>
    <row r="33" spans="1:6" x14ac:dyDescent="0.45">
      <c r="F33" s="30"/>
    </row>
    <row r="35" spans="1:6" x14ac:dyDescent="0.45">
      <c r="F35" s="31"/>
    </row>
    <row r="39" spans="1:6" ht="15.75" x14ac:dyDescent="0.5">
      <c r="A39" s="24" t="s">
        <v>200</v>
      </c>
    </row>
    <row r="40" spans="1:6" ht="15.75" x14ac:dyDescent="0.5">
      <c r="A40" s="32" t="s">
        <v>2</v>
      </c>
    </row>
    <row r="41" spans="1:6" ht="15.75" x14ac:dyDescent="0.5">
      <c r="A41" s="32" t="s">
        <v>4</v>
      </c>
    </row>
    <row r="42" spans="1:6" ht="15.75" x14ac:dyDescent="0.5">
      <c r="A42" s="32" t="s">
        <v>52</v>
      </c>
    </row>
    <row r="43" spans="1:6" ht="15.75" x14ac:dyDescent="0.5">
      <c r="A43" s="32" t="s">
        <v>190</v>
      </c>
    </row>
    <row r="45" spans="1:6" ht="15.75" x14ac:dyDescent="0.5">
      <c r="A45" s="24" t="s">
        <v>196</v>
      </c>
    </row>
    <row r="53" spans="1:1" ht="15.75" x14ac:dyDescent="0.5">
      <c r="A53" s="24" t="s">
        <v>197</v>
      </c>
    </row>
    <row r="54" spans="1:1" ht="15.75" x14ac:dyDescent="0.5">
      <c r="A54" s="25" t="s">
        <v>191</v>
      </c>
    </row>
    <row r="55" spans="1:1" ht="15.75" x14ac:dyDescent="0.5">
      <c r="A55" s="24" t="s">
        <v>192</v>
      </c>
    </row>
    <row r="56" spans="1:1" ht="15.75" x14ac:dyDescent="0.5">
      <c r="A56" s="24" t="s">
        <v>193</v>
      </c>
    </row>
    <row r="58" spans="1:1" ht="15.75" x14ac:dyDescent="0.5">
      <c r="A58" s="24" t="s">
        <v>198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'Submission Status'!$A$2:$A$13</xm:f>
          </x14:formula1>
          <xm:sqref>E2 E10 E8 E6 E4</xm:sqref>
        </x14:dataValidation>
        <x14:dataValidation type="list" allowBlank="1" showInputMessage="1" showErrorMessage="1">
          <x14:formula1>
            <xm:f>'UW Info'!$D$2:$D$49</xm:f>
          </x14:formula1>
          <xm:sqref>H2 H10 H6 H8 H4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D24" sqref="D24"/>
    </sheetView>
  </sheetViews>
  <sheetFormatPr defaultRowHeight="14.25" x14ac:dyDescent="0.45"/>
  <cols>
    <col min="1" max="1" width="20.59765625" bestFit="1" customWidth="1"/>
    <col min="2" max="2" width="19.1328125" bestFit="1" customWidth="1"/>
    <col min="3" max="3" width="29.59765625" customWidth="1"/>
    <col min="5" max="5" width="36.86328125" bestFit="1" customWidth="1"/>
    <col min="6" max="6" width="50.86328125" customWidth="1"/>
    <col min="12" max="12" width="20.265625" customWidth="1"/>
    <col min="13" max="13" width="13" customWidth="1"/>
  </cols>
  <sheetData>
    <row r="1" spans="1:6" x14ac:dyDescent="0.45">
      <c r="A1" s="2" t="s">
        <v>43</v>
      </c>
      <c r="B1" s="2" t="s">
        <v>161</v>
      </c>
      <c r="C1" s="2" t="s">
        <v>162</v>
      </c>
      <c r="E1" s="22" t="s">
        <v>165</v>
      </c>
      <c r="F1" t="str">
        <f>"C:\Users\"&amp;VLOOKUP('2nd in - ToUW'!$B$13,'Processor List'!$A:$C,3,0)&amp;"\Desktop\Clearance Report.xlsx"</f>
        <v>C:\Users\szhang\Desktop\Clearance Report.xlsx</v>
      </c>
    </row>
    <row r="2" spans="1:6" x14ac:dyDescent="0.45">
      <c r="A2" t="s">
        <v>46</v>
      </c>
      <c r="B2" t="s">
        <v>113</v>
      </c>
      <c r="C2" t="s">
        <v>114</v>
      </c>
      <c r="E2" s="22" t="s">
        <v>189</v>
      </c>
      <c r="F2" t="s">
        <v>166</v>
      </c>
    </row>
    <row r="3" spans="1:6" x14ac:dyDescent="0.45">
      <c r="A3" t="s">
        <v>49</v>
      </c>
      <c r="B3" t="s">
        <v>116</v>
      </c>
      <c r="C3" t="s">
        <v>115</v>
      </c>
    </row>
    <row r="4" spans="1:6" x14ac:dyDescent="0.45">
      <c r="A4" t="s">
        <v>44</v>
      </c>
      <c r="B4" t="s">
        <v>117</v>
      </c>
      <c r="C4" t="s">
        <v>163</v>
      </c>
    </row>
    <row r="5" spans="1:6" x14ac:dyDescent="0.45">
      <c r="A5" t="s">
        <v>45</v>
      </c>
      <c r="B5" t="s">
        <v>118</v>
      </c>
      <c r="C5" t="s">
        <v>164</v>
      </c>
    </row>
    <row r="6" spans="1:6" x14ac:dyDescent="0.45">
      <c r="A6" t="s">
        <v>47</v>
      </c>
      <c r="B6" t="s">
        <v>119</v>
      </c>
      <c r="C6" t="s">
        <v>113</v>
      </c>
    </row>
    <row r="7" spans="1:6" x14ac:dyDescent="0.45">
      <c r="A7" t="s">
        <v>50</v>
      </c>
      <c r="B7" t="s">
        <v>115</v>
      </c>
      <c r="C7" t="s">
        <v>119</v>
      </c>
    </row>
    <row r="8" spans="1:6" x14ac:dyDescent="0.45">
      <c r="A8" t="s">
        <v>48</v>
      </c>
      <c r="B8" t="s">
        <v>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6"/>
  <sheetViews>
    <sheetView tabSelected="1" zoomScale="115" zoomScaleNormal="115" workbookViewId="0">
      <selection activeCell="A17" sqref="A17"/>
    </sheetView>
  </sheetViews>
  <sheetFormatPr defaultColWidth="9.1328125" defaultRowHeight="14.25" x14ac:dyDescent="0.45"/>
  <cols>
    <col min="1" max="1" width="22.265625" style="45" customWidth="1"/>
    <col min="2" max="2" width="43.3984375" style="45" customWidth="1"/>
    <col min="3" max="3" width="12.265625" style="66" bestFit="1" customWidth="1"/>
    <col min="4" max="4" width="19.73046875" style="45" customWidth="1"/>
    <col min="5" max="5" width="5.6640625" style="54" customWidth="1"/>
    <col min="6" max="6" width="18.265625" style="45" bestFit="1" customWidth="1"/>
    <col min="7" max="7" width="4.1328125" style="45" bestFit="1" customWidth="1"/>
    <col min="8" max="8" width="18.59765625" style="45" bestFit="1" customWidth="1"/>
    <col min="9" max="9" width="18.265625" style="45" bestFit="1" customWidth="1"/>
    <col min="10" max="10" width="20" style="45" bestFit="1" customWidth="1"/>
    <col min="11" max="11" width="26.59765625" style="45" bestFit="1" customWidth="1"/>
    <col min="12" max="12" width="5.73046875" style="45" customWidth="1"/>
    <col min="13" max="13" width="8.1328125" style="45" customWidth="1"/>
    <col min="14" max="14" width="12.73046875" style="45" bestFit="1" customWidth="1"/>
    <col min="15" max="15" width="7.59765625" style="45" customWidth="1"/>
    <col min="16" max="16" width="20" style="45" bestFit="1" customWidth="1"/>
    <col min="17" max="17" width="9.1328125" style="45"/>
    <col min="18" max="18" width="10.265625" style="45" bestFit="1" customWidth="1"/>
    <col min="19" max="19" width="9.1328125" style="45"/>
    <col min="20" max="20" width="11.73046875" style="45" bestFit="1" customWidth="1"/>
    <col min="21" max="21" width="9.1328125" style="45"/>
    <col min="22" max="22" width="20" style="45" bestFit="1" customWidth="1"/>
    <col min="23" max="16384" width="9.1328125" style="45"/>
  </cols>
  <sheetData>
    <row r="1" spans="1:11" x14ac:dyDescent="0.45">
      <c r="A1" s="43" t="s">
        <v>264</v>
      </c>
      <c r="B1" s="44" t="s">
        <v>265</v>
      </c>
      <c r="C1" s="77" t="s">
        <v>266</v>
      </c>
      <c r="D1" s="74" t="s">
        <v>289</v>
      </c>
      <c r="E1" s="73"/>
      <c r="F1" s="80" t="s">
        <v>267</v>
      </c>
      <c r="G1" s="46"/>
      <c r="H1" s="46"/>
      <c r="I1" s="46"/>
      <c r="J1" s="46"/>
      <c r="K1" s="47"/>
    </row>
    <row r="2" spans="1:11" ht="15" customHeight="1" x14ac:dyDescent="0.45">
      <c r="A2" s="48" t="s">
        <v>268</v>
      </c>
      <c r="B2" s="49" t="s">
        <v>269</v>
      </c>
      <c r="C2" s="78">
        <v>1</v>
      </c>
      <c r="D2" s="75"/>
      <c r="E2" s="73"/>
      <c r="F2" s="81" t="s">
        <v>270</v>
      </c>
      <c r="G2" s="50"/>
      <c r="H2" s="50"/>
      <c r="I2" s="50"/>
      <c r="J2" s="50"/>
      <c r="K2" s="51"/>
    </row>
    <row r="3" spans="1:11" x14ac:dyDescent="0.45">
      <c r="A3" s="52" t="s">
        <v>271</v>
      </c>
      <c r="B3" s="49" t="s">
        <v>272</v>
      </c>
      <c r="C3" s="78">
        <v>5</v>
      </c>
      <c r="D3" s="75"/>
      <c r="E3" s="73"/>
      <c r="F3" s="53" t="s">
        <v>57</v>
      </c>
      <c r="G3" s="53" t="s">
        <v>273</v>
      </c>
      <c r="H3" s="53" t="s">
        <v>2</v>
      </c>
      <c r="I3" s="54"/>
      <c r="J3" s="54"/>
      <c r="K3" s="55"/>
    </row>
    <row r="4" spans="1:11" x14ac:dyDescent="0.45">
      <c r="A4" s="56"/>
      <c r="B4" s="49" t="s">
        <v>274</v>
      </c>
      <c r="C4" s="78">
        <v>5</v>
      </c>
      <c r="D4" s="75"/>
      <c r="E4" s="73"/>
      <c r="F4" s="57"/>
      <c r="G4" s="57"/>
      <c r="H4" s="57"/>
      <c r="I4" s="54"/>
      <c r="J4" s="54"/>
      <c r="K4" s="55"/>
    </row>
    <row r="5" spans="1:11" x14ac:dyDescent="0.45">
      <c r="A5" s="56"/>
      <c r="B5" s="49" t="s">
        <v>275</v>
      </c>
      <c r="C5" s="78">
        <v>1</v>
      </c>
      <c r="D5" s="75"/>
      <c r="E5" s="73"/>
      <c r="F5" s="57"/>
      <c r="G5" s="57"/>
      <c r="H5" s="57"/>
      <c r="I5" s="54"/>
      <c r="J5" s="54"/>
      <c r="K5" s="55"/>
    </row>
    <row r="6" spans="1:11" x14ac:dyDescent="0.45">
      <c r="A6" s="56"/>
      <c r="B6" s="49" t="s">
        <v>276</v>
      </c>
      <c r="C6" s="78">
        <v>5</v>
      </c>
      <c r="D6" s="75"/>
      <c r="E6" s="73"/>
      <c r="F6" s="57"/>
      <c r="G6" s="57"/>
      <c r="H6" s="57"/>
      <c r="I6" s="54"/>
      <c r="J6" s="54"/>
      <c r="K6" s="55"/>
    </row>
    <row r="7" spans="1:11" ht="17.25" customHeight="1" x14ac:dyDescent="0.45">
      <c r="A7" s="56"/>
      <c r="B7" s="58" t="s">
        <v>277</v>
      </c>
      <c r="C7" s="78">
        <v>1</v>
      </c>
      <c r="D7" s="75"/>
      <c r="E7" s="73"/>
      <c r="F7" s="82">
        <v>2</v>
      </c>
      <c r="G7" s="50"/>
      <c r="H7" s="50"/>
      <c r="I7" s="50"/>
      <c r="J7" s="50"/>
      <c r="K7" s="51"/>
    </row>
    <row r="8" spans="1:11" x14ac:dyDescent="0.45">
      <c r="A8" s="56"/>
      <c r="B8" s="59" t="s">
        <v>278</v>
      </c>
      <c r="C8" s="78">
        <v>1</v>
      </c>
      <c r="D8" s="75"/>
      <c r="E8" s="73"/>
      <c r="F8" s="53" t="s">
        <v>279</v>
      </c>
      <c r="G8" s="53" t="s">
        <v>273</v>
      </c>
      <c r="H8" s="53" t="s">
        <v>2</v>
      </c>
      <c r="I8" s="53" t="s">
        <v>263</v>
      </c>
      <c r="J8" s="53" t="s">
        <v>273</v>
      </c>
      <c r="K8" s="60" t="s">
        <v>2</v>
      </c>
    </row>
    <row r="9" spans="1:11" x14ac:dyDescent="0.45">
      <c r="A9" s="56"/>
      <c r="B9" s="49" t="s">
        <v>280</v>
      </c>
      <c r="C9" s="78">
        <v>2</v>
      </c>
      <c r="D9" s="75"/>
      <c r="E9" s="73"/>
      <c r="F9" s="57"/>
      <c r="G9" s="57"/>
      <c r="H9" s="57"/>
      <c r="I9" s="57"/>
      <c r="J9" s="57"/>
      <c r="K9" s="61"/>
    </row>
    <row r="10" spans="1:11" x14ac:dyDescent="0.45">
      <c r="A10" s="56"/>
      <c r="B10" s="49" t="s">
        <v>281</v>
      </c>
      <c r="C10" s="78">
        <v>3</v>
      </c>
      <c r="D10" s="75"/>
      <c r="E10" s="73"/>
      <c r="F10" s="57"/>
      <c r="G10" s="57"/>
      <c r="H10" s="57"/>
      <c r="I10" s="57"/>
      <c r="J10" s="57"/>
      <c r="K10" s="61"/>
    </row>
    <row r="11" spans="1:11" x14ac:dyDescent="0.45">
      <c r="A11" s="56"/>
      <c r="B11" s="49" t="s">
        <v>282</v>
      </c>
      <c r="C11" s="78">
        <v>4</v>
      </c>
      <c r="D11" s="75"/>
      <c r="E11" s="73"/>
      <c r="F11" s="57"/>
      <c r="G11" s="57"/>
      <c r="H11" s="57"/>
      <c r="I11" s="57"/>
      <c r="J11" s="57"/>
      <c r="K11" s="61"/>
    </row>
    <row r="12" spans="1:11" x14ac:dyDescent="0.45">
      <c r="A12" s="56"/>
      <c r="B12" s="49" t="s">
        <v>283</v>
      </c>
      <c r="C12" s="78">
        <v>6</v>
      </c>
      <c r="D12" s="75"/>
      <c r="E12" s="73"/>
      <c r="F12" s="83">
        <v>3</v>
      </c>
      <c r="G12" s="62"/>
      <c r="H12" s="62"/>
      <c r="I12" s="62"/>
      <c r="J12" s="62"/>
      <c r="K12" s="63"/>
    </row>
    <row r="13" spans="1:11" x14ac:dyDescent="0.45">
      <c r="A13" s="56"/>
      <c r="B13" s="49" t="s">
        <v>284</v>
      </c>
      <c r="C13" s="78">
        <v>6</v>
      </c>
      <c r="D13" s="75"/>
      <c r="E13" s="73"/>
      <c r="F13" s="53" t="s">
        <v>263</v>
      </c>
      <c r="G13" s="53" t="s">
        <v>273</v>
      </c>
      <c r="H13" s="53" t="s">
        <v>285</v>
      </c>
      <c r="I13" s="53" t="s">
        <v>273</v>
      </c>
      <c r="J13" s="53" t="s">
        <v>286</v>
      </c>
      <c r="K13" s="55"/>
    </row>
    <row r="14" spans="1:11" x14ac:dyDescent="0.45">
      <c r="A14" s="64"/>
      <c r="B14" s="65" t="s">
        <v>287</v>
      </c>
      <c r="C14" s="79">
        <v>6</v>
      </c>
      <c r="D14" s="76"/>
      <c r="E14" s="73"/>
      <c r="F14" s="57"/>
      <c r="G14" s="57"/>
      <c r="H14" s="57"/>
      <c r="I14" s="57"/>
      <c r="J14" s="57"/>
      <c r="K14" s="55"/>
    </row>
    <row r="15" spans="1:11" x14ac:dyDescent="0.45">
      <c r="F15" s="57"/>
      <c r="G15" s="57"/>
      <c r="H15" s="57"/>
      <c r="I15" s="57"/>
      <c r="J15" s="57"/>
      <c r="K15" s="55"/>
    </row>
    <row r="16" spans="1:11" x14ac:dyDescent="0.45">
      <c r="F16" s="57"/>
      <c r="G16" s="57"/>
      <c r="H16" s="57"/>
      <c r="I16" s="57"/>
      <c r="J16" s="57"/>
      <c r="K16" s="55"/>
    </row>
    <row r="17" spans="6:11" x14ac:dyDescent="0.45">
      <c r="F17" s="81">
        <v>4</v>
      </c>
      <c r="G17" s="50"/>
      <c r="H17" s="50"/>
      <c r="I17" s="50"/>
      <c r="J17" s="50"/>
      <c r="K17" s="51"/>
    </row>
    <row r="18" spans="6:11" x14ac:dyDescent="0.45">
      <c r="F18" s="53" t="s">
        <v>279</v>
      </c>
      <c r="G18" s="53" t="s">
        <v>273</v>
      </c>
      <c r="H18" s="53" t="s">
        <v>285</v>
      </c>
      <c r="I18" s="53" t="s">
        <v>273</v>
      </c>
      <c r="J18" s="53" t="s">
        <v>286</v>
      </c>
      <c r="K18" s="55"/>
    </row>
    <row r="19" spans="6:11" x14ac:dyDescent="0.45">
      <c r="F19" s="57"/>
      <c r="G19" s="57"/>
      <c r="H19" s="57"/>
      <c r="I19" s="57"/>
      <c r="J19" s="57"/>
      <c r="K19" s="55"/>
    </row>
    <row r="20" spans="6:11" x14ac:dyDescent="0.45">
      <c r="F20" s="57"/>
      <c r="G20" s="57"/>
      <c r="H20" s="57"/>
      <c r="I20" s="57"/>
      <c r="J20" s="57"/>
      <c r="K20" s="55"/>
    </row>
    <row r="21" spans="6:11" x14ac:dyDescent="0.45">
      <c r="F21" s="57"/>
      <c r="G21" s="57"/>
      <c r="H21" s="57"/>
      <c r="I21" s="57"/>
      <c r="J21" s="57"/>
      <c r="K21" s="55"/>
    </row>
    <row r="22" spans="6:11" x14ac:dyDescent="0.45">
      <c r="F22" s="81">
        <v>6</v>
      </c>
      <c r="G22" s="50"/>
      <c r="H22" s="50" t="s">
        <v>288</v>
      </c>
      <c r="I22" s="50"/>
      <c r="J22" s="50"/>
      <c r="K22" s="51"/>
    </row>
    <row r="23" spans="6:11" x14ac:dyDescent="0.45">
      <c r="F23" s="53" t="s">
        <v>273</v>
      </c>
      <c r="G23" s="67"/>
      <c r="H23" s="68"/>
      <c r="I23" s="69"/>
      <c r="J23" s="69"/>
      <c r="K23" s="55"/>
    </row>
    <row r="24" spans="6:11" x14ac:dyDescent="0.45">
      <c r="F24" s="84"/>
      <c r="G24" s="67"/>
      <c r="H24" s="69"/>
      <c r="I24" s="69"/>
      <c r="J24" s="69"/>
      <c r="K24" s="55"/>
    </row>
    <row r="25" spans="6:11" x14ac:dyDescent="0.45">
      <c r="F25" s="84"/>
      <c r="G25" s="67"/>
      <c r="H25" s="69"/>
      <c r="I25" s="69"/>
      <c r="J25" s="69"/>
      <c r="K25" s="55"/>
    </row>
    <row r="26" spans="6:11" ht="14.65" thickBot="1" x14ac:dyDescent="0.5">
      <c r="F26" s="85"/>
      <c r="G26" s="70"/>
      <c r="H26" s="71"/>
      <c r="I26" s="71"/>
      <c r="J26" s="71"/>
      <c r="K26" s="72"/>
    </row>
  </sheetData>
  <mergeCells count="2">
    <mergeCell ref="F1:K1"/>
    <mergeCell ref="A3:A14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'LOB List'!$B$2:$B$10</xm:f>
          </x14:formula1>
          <xm:sqref>I9:I11 F14:F16</xm:sqref>
        </x14:dataValidation>
        <x14:dataValidation type="list" allowBlank="1" showInputMessage="1" showErrorMessage="1">
          <x14:formula1>
            <xm:f>'UW Info'!$D$2:$D$49</xm:f>
          </x14:formula1>
          <xm:sqref>G4:G6 G9:G11 J9:J11 G14:G16 I14:I16 G19:G21 I19:I21 F24:F26</xm:sqref>
        </x14:dataValidation>
        <x14:dataValidation type="list" allowBlank="1" showInputMessage="1" showErrorMessage="1">
          <x14:formula1>
            <xm:f>'LOB List'!$A$2:$A$10</xm:f>
          </x14:formula1>
          <xm:sqref>F4:F6 F9:F11 F19:F21 H14:H16 H19:H21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>
      <selection activeCell="A13" sqref="A13:XFD13"/>
    </sheetView>
  </sheetViews>
  <sheetFormatPr defaultRowHeight="14.25" x14ac:dyDescent="0.45"/>
  <cols>
    <col min="1" max="1" width="34.3984375" customWidth="1"/>
    <col min="2" max="2" width="40.3984375" customWidth="1"/>
    <col min="3" max="3" width="23.1328125" bestFit="1" customWidth="1"/>
    <col min="4" max="4" width="12.3984375" customWidth="1"/>
  </cols>
  <sheetData>
    <row r="1" spans="1:4" x14ac:dyDescent="0.45">
      <c r="A1" s="2" t="s">
        <v>36</v>
      </c>
      <c r="B1" s="2" t="s">
        <v>35</v>
      </c>
      <c r="C1" s="2" t="s">
        <v>131</v>
      </c>
      <c r="D1" s="2" t="s">
        <v>243</v>
      </c>
    </row>
    <row r="2" spans="1:4" x14ac:dyDescent="0.45">
      <c r="A2" t="s">
        <v>24</v>
      </c>
      <c r="B2" s="1" t="s">
        <v>23</v>
      </c>
      <c r="C2" t="s">
        <v>132</v>
      </c>
      <c r="D2" t="s">
        <v>244</v>
      </c>
    </row>
    <row r="3" spans="1:4" x14ac:dyDescent="0.45">
      <c r="A3" t="s">
        <v>31</v>
      </c>
      <c r="B3" s="1" t="s">
        <v>30</v>
      </c>
      <c r="C3" t="s">
        <v>133</v>
      </c>
      <c r="D3" t="s">
        <v>245</v>
      </c>
    </row>
    <row r="4" spans="1:4" x14ac:dyDescent="0.45">
      <c r="A4" t="s">
        <v>150</v>
      </c>
      <c r="B4" s="1" t="s">
        <v>28</v>
      </c>
      <c r="C4" t="s">
        <v>134</v>
      </c>
      <c r="D4" t="s">
        <v>255</v>
      </c>
    </row>
    <row r="5" spans="1:4" x14ac:dyDescent="0.45">
      <c r="A5" t="s">
        <v>20</v>
      </c>
      <c r="B5" s="1" t="s">
        <v>19</v>
      </c>
      <c r="C5" t="s">
        <v>135</v>
      </c>
      <c r="D5" t="s">
        <v>256</v>
      </c>
    </row>
    <row r="6" spans="1:4" x14ac:dyDescent="0.45">
      <c r="A6" t="s">
        <v>14</v>
      </c>
      <c r="B6" s="1" t="s">
        <v>13</v>
      </c>
      <c r="C6" t="s">
        <v>136</v>
      </c>
      <c r="D6" t="s">
        <v>257</v>
      </c>
    </row>
    <row r="7" spans="1:4" x14ac:dyDescent="0.45">
      <c r="A7" t="s">
        <v>8</v>
      </c>
      <c r="B7" s="1" t="s">
        <v>7</v>
      </c>
      <c r="C7" t="s">
        <v>137</v>
      </c>
      <c r="D7" t="s">
        <v>246</v>
      </c>
    </row>
    <row r="8" spans="1:4" x14ac:dyDescent="0.45">
      <c r="A8" t="s">
        <v>151</v>
      </c>
      <c r="B8" s="1" t="s">
        <v>32</v>
      </c>
      <c r="C8" t="s">
        <v>138</v>
      </c>
      <c r="D8" t="s">
        <v>247</v>
      </c>
    </row>
    <row r="9" spans="1:4" x14ac:dyDescent="0.45">
      <c r="A9" t="s">
        <v>12</v>
      </c>
      <c r="B9" s="1" t="s">
        <v>11</v>
      </c>
      <c r="C9" t="s">
        <v>139</v>
      </c>
      <c r="D9" t="s">
        <v>258</v>
      </c>
    </row>
    <row r="10" spans="1:4" x14ac:dyDescent="0.45">
      <c r="A10" t="s">
        <v>34</v>
      </c>
      <c r="B10" s="1" t="s">
        <v>33</v>
      </c>
      <c r="C10" t="s">
        <v>140</v>
      </c>
      <c r="D10" t="s">
        <v>259</v>
      </c>
    </row>
    <row r="11" spans="1:4" x14ac:dyDescent="0.45">
      <c r="A11" t="s">
        <v>152</v>
      </c>
      <c r="B11" s="1" t="s">
        <v>27</v>
      </c>
      <c r="C11" t="s">
        <v>141</v>
      </c>
      <c r="D11" t="s">
        <v>248</v>
      </c>
    </row>
    <row r="12" spans="1:4" x14ac:dyDescent="0.45">
      <c r="A12" t="s">
        <v>16</v>
      </c>
      <c r="B12" s="1" t="s">
        <v>15</v>
      </c>
      <c r="C12" t="s">
        <v>142</v>
      </c>
      <c r="D12" t="s">
        <v>249</v>
      </c>
    </row>
    <row r="13" spans="1:4" x14ac:dyDescent="0.45">
      <c r="A13" t="s">
        <v>18</v>
      </c>
      <c r="B13" s="1" t="s">
        <v>17</v>
      </c>
      <c r="C13" t="s">
        <v>143</v>
      </c>
      <c r="D13" t="s">
        <v>260</v>
      </c>
    </row>
    <row r="14" spans="1:4" x14ac:dyDescent="0.45">
      <c r="A14" t="s">
        <v>153</v>
      </c>
      <c r="B14" s="1" t="s">
        <v>29</v>
      </c>
      <c r="C14" t="s">
        <v>144</v>
      </c>
      <c r="D14" t="s">
        <v>250</v>
      </c>
    </row>
    <row r="15" spans="1:4" x14ac:dyDescent="0.45">
      <c r="A15" t="s">
        <v>127</v>
      </c>
      <c r="B15" s="1" t="s">
        <v>128</v>
      </c>
      <c r="C15" t="s">
        <v>148</v>
      </c>
      <c r="D15" t="s">
        <v>251</v>
      </c>
    </row>
    <row r="16" spans="1:4" x14ac:dyDescent="0.45">
      <c r="A16" t="s">
        <v>130</v>
      </c>
      <c r="B16" s="1" t="s">
        <v>129</v>
      </c>
      <c r="C16" t="s">
        <v>149</v>
      </c>
      <c r="D16" t="s">
        <v>252</v>
      </c>
    </row>
    <row r="17" spans="1:4" x14ac:dyDescent="0.45">
      <c r="A17" t="s">
        <v>22</v>
      </c>
      <c r="B17" s="1" t="s">
        <v>21</v>
      </c>
      <c r="C17" t="s">
        <v>145</v>
      </c>
      <c r="D17" t="s">
        <v>253</v>
      </c>
    </row>
    <row r="18" spans="1:4" x14ac:dyDescent="0.45">
      <c r="A18" t="s">
        <v>26</v>
      </c>
      <c r="B18" s="1" t="s">
        <v>25</v>
      </c>
      <c r="C18" t="s">
        <v>146</v>
      </c>
      <c r="D18" t="s">
        <v>261</v>
      </c>
    </row>
    <row r="19" spans="1:4" x14ac:dyDescent="0.45">
      <c r="A19" t="s">
        <v>10</v>
      </c>
      <c r="B19" s="1" t="s">
        <v>9</v>
      </c>
      <c r="C19" t="s">
        <v>147</v>
      </c>
      <c r="D19" t="s">
        <v>254</v>
      </c>
    </row>
  </sheetData>
  <sortState ref="A2:B19">
    <sortCondition ref="A1:A19"/>
  </sortState>
  <hyperlinks>
    <hyperlink ref="B10" r:id="rId1"/>
    <hyperlink ref="B8" r:id="rId2"/>
    <hyperlink ref="B3" r:id="rId3"/>
    <hyperlink ref="B14" r:id="rId4"/>
    <hyperlink ref="B4" r:id="rId5"/>
    <hyperlink ref="B11" r:id="rId6"/>
    <hyperlink ref="B18" r:id="rId7"/>
    <hyperlink ref="B2" r:id="rId8"/>
    <hyperlink ref="B17" r:id="rId9"/>
    <hyperlink ref="B5" r:id="rId10"/>
    <hyperlink ref="B13" r:id="rId11"/>
    <hyperlink ref="B12" r:id="rId12"/>
    <hyperlink ref="B6" r:id="rId13"/>
    <hyperlink ref="B9" r:id="rId14"/>
    <hyperlink ref="B19" r:id="rId15"/>
    <hyperlink ref="B7" r:id="rId16"/>
    <hyperlink ref="B15" r:id="rId17"/>
    <hyperlink ref="B16" r:id="rId18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1"/>
  <sheetViews>
    <sheetView workbookViewId="0">
      <selection activeCell="C30" sqref="C30"/>
    </sheetView>
  </sheetViews>
  <sheetFormatPr defaultRowHeight="14.25" x14ac:dyDescent="0.45"/>
  <cols>
    <col min="1" max="1" width="30.59765625" bestFit="1" customWidth="1"/>
    <col min="2" max="2" width="35.59765625" bestFit="1" customWidth="1"/>
  </cols>
  <sheetData>
    <row r="1" spans="1:2" x14ac:dyDescent="0.45">
      <c r="A1" s="2" t="s">
        <v>167</v>
      </c>
      <c r="B1" s="2" t="s">
        <v>168</v>
      </c>
    </row>
    <row r="2" spans="1:2" x14ac:dyDescent="0.45">
      <c r="A2" t="s">
        <v>39</v>
      </c>
      <c r="B2" t="s">
        <v>169</v>
      </c>
    </row>
    <row r="3" spans="1:2" x14ac:dyDescent="0.45">
      <c r="A3" t="s">
        <v>124</v>
      </c>
      <c r="B3" t="s">
        <v>124</v>
      </c>
    </row>
    <row r="4" spans="1:2" x14ac:dyDescent="0.45">
      <c r="A4" t="s">
        <v>38</v>
      </c>
      <c r="B4" t="s">
        <v>38</v>
      </c>
    </row>
    <row r="5" spans="1:2" x14ac:dyDescent="0.45">
      <c r="A5" t="s">
        <v>109</v>
      </c>
      <c r="B5" t="s">
        <v>109</v>
      </c>
    </row>
    <row r="6" spans="1:2" x14ac:dyDescent="0.45">
      <c r="A6" t="s">
        <v>125</v>
      </c>
      <c r="B6" t="s">
        <v>125</v>
      </c>
    </row>
    <row r="7" spans="1:2" x14ac:dyDescent="0.45">
      <c r="A7" t="s">
        <v>126</v>
      </c>
      <c r="B7" t="s">
        <v>126</v>
      </c>
    </row>
    <row r="8" spans="1:2" x14ac:dyDescent="0.45">
      <c r="A8" t="s">
        <v>170</v>
      </c>
      <c r="B8" t="s">
        <v>170</v>
      </c>
    </row>
    <row r="9" spans="1:2" x14ac:dyDescent="0.45">
      <c r="A9" t="s">
        <v>171</v>
      </c>
      <c r="B9" t="s">
        <v>171</v>
      </c>
    </row>
    <row r="10" spans="1:2" x14ac:dyDescent="0.45">
      <c r="A10" t="s">
        <v>172</v>
      </c>
      <c r="B10" t="s">
        <v>172</v>
      </c>
    </row>
    <row r="11" spans="1:2" x14ac:dyDescent="0.45">
      <c r="A11" t="s">
        <v>173</v>
      </c>
      <c r="B11" t="s">
        <v>173</v>
      </c>
    </row>
  </sheetData>
  <sortState ref="A2:A7">
    <sortCondition ref="A2:A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5"/>
  <sheetViews>
    <sheetView zoomScaleNormal="100" workbookViewId="0">
      <selection activeCell="D42" sqref="D42"/>
    </sheetView>
  </sheetViews>
  <sheetFormatPr defaultRowHeight="14.25" x14ac:dyDescent="0.45"/>
  <cols>
    <col min="1" max="1" width="22.1328125" customWidth="1"/>
    <col min="2" max="2" width="16.59765625" bestFit="1" customWidth="1"/>
  </cols>
  <sheetData>
    <row r="1" spans="1:2" x14ac:dyDescent="0.45">
      <c r="A1" s="2" t="s">
        <v>262</v>
      </c>
      <c r="B1" s="2" t="s">
        <v>263</v>
      </c>
    </row>
    <row r="2" spans="1:2" x14ac:dyDescent="0.45">
      <c r="A2" t="s">
        <v>58</v>
      </c>
      <c r="B2" t="s">
        <v>58</v>
      </c>
    </row>
    <row r="3" spans="1:2" x14ac:dyDescent="0.45">
      <c r="A3" t="s">
        <v>59</v>
      </c>
      <c r="B3" t="s">
        <v>59</v>
      </c>
    </row>
    <row r="4" spans="1:2" x14ac:dyDescent="0.45">
      <c r="A4" t="s">
        <v>61</v>
      </c>
      <c r="B4" t="s">
        <v>62</v>
      </c>
    </row>
    <row r="5" spans="1:2" x14ac:dyDescent="0.45">
      <c r="A5" t="s">
        <v>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6"/>
  <sheetViews>
    <sheetView workbookViewId="0">
      <selection activeCell="E26" sqref="E26"/>
    </sheetView>
  </sheetViews>
  <sheetFormatPr defaultRowHeight="14.25" x14ac:dyDescent="0.45"/>
  <cols>
    <col min="1" max="1" width="32.73046875" bestFit="1" customWidth="1"/>
    <col min="2" max="2" width="12.265625" bestFit="1" customWidth="1"/>
  </cols>
  <sheetData>
    <row r="1" spans="1:2" x14ac:dyDescent="0.45">
      <c r="A1" s="2" t="s">
        <v>154</v>
      </c>
      <c r="B1" s="2" t="s">
        <v>155</v>
      </c>
    </row>
    <row r="2" spans="1:2" x14ac:dyDescent="0.45">
      <c r="A2" t="s">
        <v>156</v>
      </c>
      <c r="B2" t="s">
        <v>58</v>
      </c>
    </row>
    <row r="3" spans="1:2" x14ac:dyDescent="0.45">
      <c r="A3" t="s">
        <v>157</v>
      </c>
      <c r="B3" t="s">
        <v>59</v>
      </c>
    </row>
    <row r="4" spans="1:2" x14ac:dyDescent="0.45">
      <c r="A4" t="s">
        <v>158</v>
      </c>
      <c r="B4" t="s">
        <v>61</v>
      </c>
    </row>
    <row r="5" spans="1:2" x14ac:dyDescent="0.45">
      <c r="A5" t="s">
        <v>159</v>
      </c>
      <c r="B5" t="s">
        <v>62</v>
      </c>
    </row>
    <row r="6" spans="1:2" x14ac:dyDescent="0.45">
      <c r="A6" t="s">
        <v>160</v>
      </c>
      <c r="B6" t="s">
        <v>62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9"/>
  <sheetViews>
    <sheetView topLeftCell="A2" workbookViewId="0">
      <selection activeCell="F26" sqref="F26"/>
    </sheetView>
  </sheetViews>
  <sheetFormatPr defaultRowHeight="14.25" x14ac:dyDescent="0.45"/>
  <cols>
    <col min="1" max="1" width="15.3984375" bestFit="1" customWidth="1"/>
    <col min="2" max="2" width="33.73046875" customWidth="1"/>
  </cols>
  <sheetData>
    <row r="1" spans="1:3" x14ac:dyDescent="0.45">
      <c r="A1" s="2" t="s">
        <v>53</v>
      </c>
      <c r="B1" s="2" t="s">
        <v>35</v>
      </c>
      <c r="C1" t="s">
        <v>241</v>
      </c>
    </row>
    <row r="2" spans="1:3" x14ac:dyDescent="0.45">
      <c r="A2" t="s">
        <v>55</v>
      </c>
      <c r="B2" s="1" t="s">
        <v>56</v>
      </c>
      <c r="C2" t="s">
        <v>213</v>
      </c>
    </row>
    <row r="3" spans="1:3" x14ac:dyDescent="0.45">
      <c r="A3" t="s">
        <v>66</v>
      </c>
      <c r="B3" s="1" t="s">
        <v>67</v>
      </c>
      <c r="C3" t="s">
        <v>214</v>
      </c>
    </row>
    <row r="4" spans="1:3" x14ac:dyDescent="0.45">
      <c r="A4" t="s">
        <v>65</v>
      </c>
      <c r="B4" s="1" t="s">
        <v>68</v>
      </c>
      <c r="C4" t="s">
        <v>215</v>
      </c>
    </row>
    <row r="5" spans="1:3" x14ac:dyDescent="0.45">
      <c r="A5" t="s">
        <v>69</v>
      </c>
      <c r="B5" s="1" t="s">
        <v>70</v>
      </c>
      <c r="C5" t="s">
        <v>216</v>
      </c>
    </row>
    <row r="6" spans="1:3" x14ac:dyDescent="0.45">
      <c r="A6" t="s">
        <v>71</v>
      </c>
      <c r="B6" s="1" t="s">
        <v>72</v>
      </c>
      <c r="C6" t="s">
        <v>217</v>
      </c>
    </row>
    <row r="7" spans="1:3" x14ac:dyDescent="0.45">
      <c r="A7" t="s">
        <v>73</v>
      </c>
      <c r="B7" s="1" t="s">
        <v>74</v>
      </c>
      <c r="C7" t="s">
        <v>218</v>
      </c>
    </row>
    <row r="8" spans="1:3" x14ac:dyDescent="0.45">
      <c r="A8" t="s">
        <v>75</v>
      </c>
      <c r="B8" s="1" t="s">
        <v>76</v>
      </c>
      <c r="C8" t="s">
        <v>219</v>
      </c>
    </row>
    <row r="9" spans="1:3" x14ac:dyDescent="0.45">
      <c r="A9" t="s">
        <v>77</v>
      </c>
      <c r="B9" s="1" t="s">
        <v>78</v>
      </c>
      <c r="C9" t="s">
        <v>220</v>
      </c>
    </row>
    <row r="10" spans="1:3" x14ac:dyDescent="0.45">
      <c r="A10" t="s">
        <v>79</v>
      </c>
      <c r="B10" s="1" t="s">
        <v>80</v>
      </c>
      <c r="C10" t="s">
        <v>221</v>
      </c>
    </row>
    <row r="11" spans="1:3" x14ac:dyDescent="0.45">
      <c r="A11" t="s">
        <v>81</v>
      </c>
      <c r="B11" s="1" t="s">
        <v>82</v>
      </c>
      <c r="C11" t="s">
        <v>222</v>
      </c>
    </row>
    <row r="12" spans="1:3" x14ac:dyDescent="0.45">
      <c r="A12" t="s">
        <v>83</v>
      </c>
      <c r="B12" s="1" t="s">
        <v>84</v>
      </c>
      <c r="C12" t="s">
        <v>223</v>
      </c>
    </row>
    <row r="13" spans="1:3" x14ac:dyDescent="0.45">
      <c r="A13" t="s">
        <v>85</v>
      </c>
      <c r="B13" s="1" t="s">
        <v>86</v>
      </c>
      <c r="C13" t="s">
        <v>224</v>
      </c>
    </row>
    <row r="14" spans="1:3" x14ac:dyDescent="0.45">
      <c r="A14" t="s">
        <v>87</v>
      </c>
      <c r="B14" s="1" t="s">
        <v>88</v>
      </c>
      <c r="C14" t="s">
        <v>225</v>
      </c>
    </row>
    <row r="15" spans="1:3" x14ac:dyDescent="0.45">
      <c r="A15" t="s">
        <v>89</v>
      </c>
      <c r="B15" s="1" t="s">
        <v>90</v>
      </c>
      <c r="C15" t="s">
        <v>226</v>
      </c>
    </row>
    <row r="16" spans="1:3" x14ac:dyDescent="0.45">
      <c r="A16" t="s">
        <v>91</v>
      </c>
      <c r="B16" s="1" t="s">
        <v>92</v>
      </c>
      <c r="C16" t="s">
        <v>227</v>
      </c>
    </row>
    <row r="17" spans="1:6" x14ac:dyDescent="0.45">
      <c r="A17" t="s">
        <v>93</v>
      </c>
      <c r="B17" s="1" t="s">
        <v>94</v>
      </c>
      <c r="C17" t="s">
        <v>228</v>
      </c>
      <c r="F17" s="42" t="s">
        <v>242</v>
      </c>
    </row>
    <row r="18" spans="1:6" x14ac:dyDescent="0.45">
      <c r="A18" t="s">
        <v>96</v>
      </c>
      <c r="B18" s="1" t="s">
        <v>95</v>
      </c>
      <c r="C18" t="s">
        <v>229</v>
      </c>
    </row>
    <row r="19" spans="1:6" x14ac:dyDescent="0.45">
      <c r="A19" t="s">
        <v>97</v>
      </c>
      <c r="B19" s="1" t="s">
        <v>98</v>
      </c>
      <c r="C19" t="s">
        <v>230</v>
      </c>
    </row>
    <row r="20" spans="1:6" x14ac:dyDescent="0.45">
      <c r="A20" t="s">
        <v>99</v>
      </c>
      <c r="B20" s="1" t="s">
        <v>100</v>
      </c>
      <c r="C20" t="s">
        <v>231</v>
      </c>
    </row>
    <row r="21" spans="1:6" x14ac:dyDescent="0.45">
      <c r="A21" t="s">
        <v>101</v>
      </c>
      <c r="B21" s="1" t="s">
        <v>102</v>
      </c>
      <c r="C21" t="s">
        <v>232</v>
      </c>
    </row>
    <row r="22" spans="1:6" x14ac:dyDescent="0.45">
      <c r="A22" t="s">
        <v>103</v>
      </c>
      <c r="B22" s="1" t="s">
        <v>104</v>
      </c>
      <c r="C22" t="s">
        <v>233</v>
      </c>
    </row>
    <row r="23" spans="1:6" x14ac:dyDescent="0.45">
      <c r="A23" t="s">
        <v>105</v>
      </c>
      <c r="B23" s="1" t="s">
        <v>106</v>
      </c>
      <c r="C23" t="s">
        <v>234</v>
      </c>
    </row>
    <row r="24" spans="1:6" x14ac:dyDescent="0.45">
      <c r="A24" t="s">
        <v>107</v>
      </c>
      <c r="B24" s="1" t="s">
        <v>108</v>
      </c>
      <c r="C24" t="s">
        <v>235</v>
      </c>
    </row>
    <row r="25" spans="1:6" x14ac:dyDescent="0.45">
      <c r="A25" t="s">
        <v>203</v>
      </c>
      <c r="B25" s="1" t="s">
        <v>204</v>
      </c>
      <c r="C25" t="s">
        <v>236</v>
      </c>
    </row>
    <row r="26" spans="1:6" x14ac:dyDescent="0.45">
      <c r="A26" t="s">
        <v>205</v>
      </c>
      <c r="B26" s="1" t="s">
        <v>206</v>
      </c>
      <c r="C26" t="s">
        <v>237</v>
      </c>
    </row>
    <row r="27" spans="1:6" x14ac:dyDescent="0.45">
      <c r="A27" t="s">
        <v>207</v>
      </c>
      <c r="B27" s="1" t="s">
        <v>208</v>
      </c>
      <c r="C27" t="s">
        <v>238</v>
      </c>
    </row>
    <row r="28" spans="1:6" x14ac:dyDescent="0.45">
      <c r="A28" t="s">
        <v>209</v>
      </c>
      <c r="B28" s="1" t="s">
        <v>210</v>
      </c>
      <c r="C28" t="s">
        <v>239</v>
      </c>
    </row>
    <row r="29" spans="1:6" x14ac:dyDescent="0.45">
      <c r="A29" t="s">
        <v>211</v>
      </c>
      <c r="B29" s="1" t="s">
        <v>212</v>
      </c>
      <c r="C29" t="s">
        <v>240</v>
      </c>
    </row>
  </sheetData>
  <hyperlinks>
    <hyperlink ref="B2" r:id="rId1"/>
    <hyperlink ref="B24" r:id="rId2"/>
    <hyperlink ref="B25" r:id="rId3"/>
    <hyperlink ref="B26" r:id="rId4"/>
    <hyperlink ref="B27" r:id="rId5"/>
    <hyperlink ref="B28" r:id="rId6"/>
    <hyperlink ref="B29" r:id="rId7"/>
  </hyperlinks>
  <pageMargins left="0.7" right="0.7" top="0.75" bottom="0.75" header="0.3" footer="0.3"/>
  <pageSetup orientation="portrait" r:id="rId8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5"/>
  <sheetViews>
    <sheetView workbookViewId="0">
      <selection activeCell="A2" sqref="A2:A15"/>
    </sheetView>
  </sheetViews>
  <sheetFormatPr defaultRowHeight="14.25" x14ac:dyDescent="0.45"/>
  <sheetData>
    <row r="1" spans="1:1" x14ac:dyDescent="0.45">
      <c r="A1" s="23" t="s">
        <v>174</v>
      </c>
    </row>
    <row r="2" spans="1:1" x14ac:dyDescent="0.45">
      <c r="A2" t="s">
        <v>175</v>
      </c>
    </row>
    <row r="3" spans="1:1" x14ac:dyDescent="0.45">
      <c r="A3" t="s">
        <v>176</v>
      </c>
    </row>
    <row r="4" spans="1:1" x14ac:dyDescent="0.45">
      <c r="A4" t="s">
        <v>177</v>
      </c>
    </row>
    <row r="5" spans="1:1" x14ac:dyDescent="0.45">
      <c r="A5" t="s">
        <v>178</v>
      </c>
    </row>
    <row r="6" spans="1:1" x14ac:dyDescent="0.45">
      <c r="A6" t="s">
        <v>179</v>
      </c>
    </row>
    <row r="7" spans="1:1" x14ac:dyDescent="0.45">
      <c r="A7" t="s">
        <v>180</v>
      </c>
    </row>
    <row r="8" spans="1:1" x14ac:dyDescent="0.45">
      <c r="A8" t="s">
        <v>181</v>
      </c>
    </row>
    <row r="9" spans="1:1" x14ac:dyDescent="0.45">
      <c r="A9" t="s">
        <v>182</v>
      </c>
    </row>
    <row r="10" spans="1:1" x14ac:dyDescent="0.45">
      <c r="A10" t="s">
        <v>183</v>
      </c>
    </row>
    <row r="11" spans="1:1" x14ac:dyDescent="0.45">
      <c r="A11" t="s">
        <v>184</v>
      </c>
    </row>
    <row r="12" spans="1:1" x14ac:dyDescent="0.45">
      <c r="A12" t="s">
        <v>185</v>
      </c>
    </row>
    <row r="13" spans="1:1" x14ac:dyDescent="0.45">
      <c r="A13" t="s">
        <v>186</v>
      </c>
    </row>
    <row r="14" spans="1:1" x14ac:dyDescent="0.45">
      <c r="A14" t="s">
        <v>187</v>
      </c>
    </row>
    <row r="15" spans="1:1" x14ac:dyDescent="0.45">
      <c r="A15" t="s">
        <v>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Ack Letter</vt:lpstr>
      <vt:lpstr>2nd in - ToUW</vt:lpstr>
      <vt:lpstr>2nd in - Config</vt:lpstr>
      <vt:lpstr>Decline Reference</vt:lpstr>
      <vt:lpstr>UW Info</vt:lpstr>
      <vt:lpstr>Submission Status</vt:lpstr>
      <vt:lpstr>LOB List</vt:lpstr>
      <vt:lpstr>LOB-Line_in_IMS</vt:lpstr>
      <vt:lpstr>Processor List</vt:lpstr>
      <vt:lpstr>Name Splitter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Susan Zhang</dc:creator>
  <cp:lastModifiedBy>Betty Xu</cp:lastModifiedBy>
  <dcterms:created xsi:type="dcterms:W3CDTF">2023-04-25T01:28:18Z</dcterms:created>
  <dcterms:modified xsi:type="dcterms:W3CDTF">2024-02-17T08:39:12Z</dcterms:modified>
</cp:coreProperties>
</file>